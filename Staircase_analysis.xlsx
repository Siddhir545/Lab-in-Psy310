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daptive_staircase" sheetId="1" r:id="rId4"/>
    <sheet state="visible" name="Chart1" sheetId="2" r:id="rId5"/>
    <sheet state="visible" name="Chart2" sheetId="3" r:id="rId6"/>
  </sheets>
  <definedNames/>
  <calcPr/>
</workbook>
</file>

<file path=xl/sharedStrings.xml><?xml version="1.0" encoding="utf-8"?>
<sst xmlns="http://schemas.openxmlformats.org/spreadsheetml/2006/main" count="13" uniqueCount="11">
  <si>
    <t xml:space="preserve">No. of trial </t>
  </si>
  <si>
    <t>Tilt</t>
  </si>
  <si>
    <t>Key_resp.corr</t>
  </si>
  <si>
    <t>Key_resp.rt</t>
  </si>
  <si>
    <t>Last 5 Reversal Points.</t>
  </si>
  <si>
    <t>Reversal points</t>
  </si>
  <si>
    <t>Difference Threshold estimate</t>
  </si>
  <si>
    <t xml:space="preserve">Difference Threshold </t>
  </si>
  <si>
    <t xml:space="preserve">Correct Responses </t>
  </si>
  <si>
    <t>Accuracy</t>
  </si>
  <si>
    <t>Accuracy = (Number of correct trials ÷ Total trials) ×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</si>
</sst>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/>
    <font>
      <sz val="12.0"/>
      <color rgb="FFFF0000"/>
      <name val="Times New Roman"/>
    </font>
    <font>
      <sz val="12.0"/>
      <color rgb="FF000000"/>
      <name val="Times New Roman"/>
    </font>
    <font>
      <color rgb="FF000000"/>
      <name val="Roboto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0" fontId="2" numFmtId="0" xfId="0" applyFont="1"/>
    <xf borderId="4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6" fillId="0" fontId="4" numFmtId="0" xfId="0" applyBorder="1" applyFont="1"/>
    <xf borderId="4" fillId="2" fontId="3" numFmtId="0" xfId="0" applyAlignment="1" applyBorder="1" applyFont="1">
      <alignment readingOrder="0"/>
    </xf>
    <xf borderId="4" fillId="0" fontId="2" numFmtId="0" xfId="0" applyBorder="1" applyFont="1"/>
    <xf borderId="4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Garamond"/>
              </a:defRPr>
            </a:pPr>
            <a:r>
              <a:rPr b="1" sz="1800">
                <a:solidFill>
                  <a:srgbClr val="000000"/>
                </a:solidFill>
                <a:latin typeface="Garamond"/>
              </a:rPr>
              <a:t>Tilt of Grating across Trials</a:t>
            </a:r>
          </a:p>
        </c:rich>
      </c:tx>
      <c:layout>
        <c:manualLayout>
          <c:xMode val="edge"/>
          <c:yMode val="edge"/>
          <c:x val="0.023660205245153935"/>
          <c:y val="0.04759036144578313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'1_adaptive_staircase'!$B$1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A64D79"/>
              </a:solidFill>
              <a:ln cmpd="sng">
                <a:solidFill>
                  <a:srgbClr val="A64D79"/>
                </a:solidFill>
              </a:ln>
            </c:spPr>
          </c:marker>
          <c:xVal>
            <c:numRef>
              <c:f>'1_adaptive_staircase'!$A$2:$A$101</c:f>
            </c:numRef>
          </c:xVal>
          <c:yVal>
            <c:numRef>
              <c:f>'1_adaptive_staircase'!$B$2:$B$101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037290"/>
        <c:axId val="1085180945"/>
      </c:scatterChart>
      <c:valAx>
        <c:axId val="16070372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2000">
                    <a:solidFill>
                      <a:srgbClr val="000000"/>
                    </a:solidFill>
                    <a:latin typeface="Garamond"/>
                  </a:rPr>
                  <a:t>No. of trial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Garamond"/>
              </a:defRPr>
            </a:pPr>
          </a:p>
        </c:txPr>
        <c:crossAx val="1085180945"/>
      </c:valAx>
      <c:valAx>
        <c:axId val="1085180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800">
                    <a:solidFill>
                      <a:srgbClr val="000000"/>
                    </a:solidFill>
                    <a:latin typeface="Garamond"/>
                  </a:rPr>
                  <a:t> Tilt   (-)→left tilt, (+)→right 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Garamond"/>
              </a:defRPr>
            </a:pPr>
          </a:p>
        </c:txPr>
        <c:crossAx val="1607037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Response Accuracy Over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'1_adaptive_staircase'!$C$1</c:f>
            </c:strRef>
          </c:tx>
          <c:spPr>
            <a:ln cmpd="sng">
              <a:solidFill>
                <a:srgbClr val="741B47"/>
              </a:solidFill>
            </a:ln>
          </c:spPr>
          <c:marker>
            <c:symbol val="circle"/>
            <c:size val="7"/>
            <c:spPr>
              <a:solidFill>
                <a:srgbClr val="741B47"/>
              </a:solidFill>
              <a:ln cmpd="sng">
                <a:solidFill>
                  <a:srgbClr val="741B47"/>
                </a:solidFill>
              </a:ln>
            </c:spPr>
          </c:marker>
          <c:cat>
            <c:strRef>
              <c:f>'1_adaptive_staircase'!$A$2:$A$103</c:f>
            </c:strRef>
          </c:cat>
          <c:val>
            <c:numRef>
              <c:f>'1_adaptive_staircase'!$C$2:$C$103</c:f>
              <c:numCache/>
            </c:numRef>
          </c:val>
          <c:smooth val="0"/>
        </c:ser>
        <c:axId val="2052032245"/>
        <c:axId val="894511187"/>
      </c:lineChart>
      <c:catAx>
        <c:axId val="2052032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600">
                    <a:solidFill>
                      <a:srgbClr val="000000"/>
                    </a:solidFill>
                    <a:latin typeface="Garamond"/>
                  </a:rPr>
                  <a:t>Number of Trial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894511187"/>
      </c:catAx>
      <c:valAx>
        <c:axId val="894511187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600">
                    <a:solidFill>
                      <a:srgbClr val="000000"/>
                    </a:solidFill>
                    <a:latin typeface="Garamond"/>
                  </a:rPr>
                  <a:t>Response Accuracy Correct - 1, Incorrect - 0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2052032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  <col customWidth="1" min="8" max="8" width="14.13"/>
    <col customWidth="1" min="10" max="10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10.0</v>
      </c>
      <c r="C2" s="2">
        <v>1.0</v>
      </c>
      <c r="D2" s="2">
        <v>0.602392334003525</v>
      </c>
      <c r="F2" s="3" t="s">
        <v>4</v>
      </c>
      <c r="G2" s="4"/>
      <c r="H2" s="5"/>
      <c r="I2" s="6"/>
      <c r="J2" s="6"/>
      <c r="K2" s="6"/>
      <c r="L2" s="6"/>
    </row>
    <row r="3">
      <c r="A3" s="2">
        <v>2.0</v>
      </c>
      <c r="B3" s="2">
        <v>8.0</v>
      </c>
      <c r="C3" s="2">
        <v>1.0</v>
      </c>
      <c r="D3" s="2">
        <v>0.707468874999904</v>
      </c>
      <c r="F3" s="7" t="s">
        <v>5</v>
      </c>
      <c r="G3" s="7" t="s">
        <v>1</v>
      </c>
      <c r="H3" s="7" t="s">
        <v>2</v>
      </c>
      <c r="I3" s="6"/>
      <c r="J3" s="6"/>
      <c r="K3" s="6"/>
      <c r="L3" s="6"/>
    </row>
    <row r="4">
      <c r="A4" s="2">
        <v>3.0</v>
      </c>
      <c r="B4" s="2">
        <v>6.0</v>
      </c>
      <c r="C4" s="2">
        <v>1.0</v>
      </c>
      <c r="D4" s="2">
        <v>1.11878633299784</v>
      </c>
      <c r="F4" s="8">
        <v>1.0</v>
      </c>
      <c r="G4" s="9">
        <v>6.0</v>
      </c>
      <c r="H4" s="10">
        <v>0.0</v>
      </c>
      <c r="I4" s="6"/>
      <c r="J4" s="6"/>
      <c r="K4" s="6"/>
      <c r="L4" s="6"/>
    </row>
    <row r="5">
      <c r="A5" s="2">
        <v>4.0</v>
      </c>
      <c r="B5" s="2">
        <v>-4.0</v>
      </c>
      <c r="C5" s="2">
        <v>1.0</v>
      </c>
      <c r="D5" s="2">
        <v>0.744146500001079</v>
      </c>
      <c r="F5" s="11"/>
      <c r="G5" s="9">
        <v>11.0</v>
      </c>
      <c r="H5" s="10">
        <v>1.0</v>
      </c>
      <c r="I5" s="6"/>
      <c r="J5" s="6"/>
      <c r="K5" s="6"/>
      <c r="L5" s="6"/>
    </row>
    <row r="6">
      <c r="A6" s="2">
        <v>5.0</v>
      </c>
      <c r="B6" s="2">
        <v>-2.0</v>
      </c>
      <c r="C6" s="2">
        <v>1.0</v>
      </c>
      <c r="D6" s="2">
        <v>0.69303624999884</v>
      </c>
      <c r="F6" s="8">
        <v>2.0</v>
      </c>
      <c r="G6" s="9">
        <v>-1.0</v>
      </c>
      <c r="H6" s="10">
        <v>0.0</v>
      </c>
      <c r="I6" s="6"/>
      <c r="J6" s="6"/>
      <c r="K6" s="6"/>
      <c r="L6" s="6"/>
    </row>
    <row r="7">
      <c r="A7" s="2">
        <v>6.0</v>
      </c>
      <c r="B7" s="2">
        <v>1.0</v>
      </c>
      <c r="C7" s="2">
        <v>1.0</v>
      </c>
      <c r="D7" s="2">
        <v>0.856943874998251</v>
      </c>
      <c r="F7" s="11"/>
      <c r="G7" s="9">
        <v>6.0</v>
      </c>
      <c r="H7" s="10">
        <v>1.0</v>
      </c>
      <c r="I7" s="6"/>
      <c r="J7" s="12" t="s">
        <v>6</v>
      </c>
      <c r="K7" s="13">
        <f>AVERAGE(G5,G7,G9,G11,G13)</f>
        <v>3.2</v>
      </c>
      <c r="L7" s="6"/>
    </row>
    <row r="8">
      <c r="A8" s="2">
        <v>7.0</v>
      </c>
      <c r="B8" s="2">
        <v>-1.0</v>
      </c>
      <c r="C8" s="2">
        <v>1.0</v>
      </c>
      <c r="D8" s="2">
        <v>0.80621224999777</v>
      </c>
      <c r="F8" s="8">
        <v>3.0</v>
      </c>
      <c r="G8" s="9">
        <v>11.0</v>
      </c>
      <c r="H8" s="10">
        <v>0.0</v>
      </c>
      <c r="I8" s="6"/>
      <c r="J8" s="14" t="s">
        <v>7</v>
      </c>
      <c r="K8" s="13">
        <f>SUM(G5,G7,G9,G11,G13)/5</f>
        <v>3.2</v>
      </c>
      <c r="L8" s="6"/>
    </row>
    <row r="9">
      <c r="A9" s="2">
        <v>8.0</v>
      </c>
      <c r="B9" s="2">
        <v>1.0</v>
      </c>
      <c r="C9" s="15">
        <v>0.0</v>
      </c>
      <c r="D9" s="2">
        <v>0.897856084004161</v>
      </c>
      <c r="F9" s="11"/>
      <c r="G9" s="9">
        <v>16.0</v>
      </c>
      <c r="H9" s="10">
        <v>1.0</v>
      </c>
      <c r="I9" s="6"/>
      <c r="J9" s="14" t="s">
        <v>8</v>
      </c>
      <c r="K9" s="13">
        <f>COUNTIF('1_adaptive_staircase'!C2:C101,1)</f>
        <v>85</v>
      </c>
      <c r="L9" s="6"/>
    </row>
    <row r="10">
      <c r="A10" s="2">
        <v>9.0</v>
      </c>
      <c r="B10" s="2">
        <v>-2.0</v>
      </c>
      <c r="C10" s="15">
        <v>1.0</v>
      </c>
      <c r="D10" s="2">
        <v>0.767814749997342</v>
      </c>
      <c r="F10" s="8">
        <v>4.0</v>
      </c>
      <c r="G10" s="9">
        <v>1.0</v>
      </c>
      <c r="H10" s="10">
        <v>0.0</v>
      </c>
      <c r="I10" s="6"/>
      <c r="J10" s="14" t="s">
        <v>9</v>
      </c>
      <c r="K10" s="13">
        <f>(K9/100)*100</f>
        <v>85</v>
      </c>
      <c r="L10" s="6"/>
    </row>
    <row r="11">
      <c r="A11" s="2">
        <v>10.0</v>
      </c>
      <c r="B11" s="2">
        <v>-2.0</v>
      </c>
      <c r="C11" s="2">
        <v>1.0</v>
      </c>
      <c r="D11" s="2">
        <v>0.722885583003517</v>
      </c>
      <c r="F11" s="11"/>
      <c r="G11" s="9">
        <v>-6.0</v>
      </c>
      <c r="H11" s="10">
        <v>1.0</v>
      </c>
      <c r="I11" s="6"/>
      <c r="J11" s="16" t="s">
        <v>10</v>
      </c>
      <c r="K11" s="6"/>
      <c r="L11" s="6"/>
    </row>
    <row r="12">
      <c r="A12" s="2">
        <v>11.0</v>
      </c>
      <c r="B12" s="2">
        <v>2.0</v>
      </c>
      <c r="C12" s="2">
        <v>1.0</v>
      </c>
      <c r="D12" s="2">
        <v>0.848601124998822</v>
      </c>
      <c r="F12" s="8">
        <v>5.0</v>
      </c>
      <c r="G12" s="9">
        <v>6.0</v>
      </c>
      <c r="H12" s="10">
        <v>0.0</v>
      </c>
      <c r="I12" s="6"/>
      <c r="L12" s="6"/>
    </row>
    <row r="13">
      <c r="A13" s="2">
        <v>12.0</v>
      </c>
      <c r="B13" s="2">
        <v>1.0</v>
      </c>
      <c r="C13" s="2">
        <v>1.0</v>
      </c>
      <c r="D13" s="2">
        <v>0.977805916998477</v>
      </c>
      <c r="F13" s="11"/>
      <c r="G13" s="9">
        <v>-11.0</v>
      </c>
      <c r="H13" s="10">
        <v>1.0</v>
      </c>
      <c r="I13" s="6"/>
      <c r="J13" s="17"/>
      <c r="L13" s="6"/>
    </row>
    <row r="14">
      <c r="A14" s="2">
        <v>13.0</v>
      </c>
      <c r="B14" s="2">
        <v>-1.0</v>
      </c>
      <c r="C14" s="2">
        <v>1.0</v>
      </c>
      <c r="D14" s="2">
        <v>0.982237292002537</v>
      </c>
      <c r="F14" s="18"/>
      <c r="G14" s="18"/>
      <c r="H14" s="6"/>
      <c r="I14" s="6"/>
      <c r="J14" s="6"/>
      <c r="K14" s="6"/>
      <c r="L14" s="6"/>
    </row>
    <row r="15">
      <c r="A15" s="2">
        <v>14.0</v>
      </c>
      <c r="B15" s="2">
        <v>1.0</v>
      </c>
      <c r="C15" s="2">
        <v>1.0</v>
      </c>
      <c r="D15" s="2">
        <v>0.987734040994837</v>
      </c>
    </row>
    <row r="16">
      <c r="A16" s="2">
        <v>15.0</v>
      </c>
      <c r="B16" s="2">
        <v>1.0</v>
      </c>
      <c r="C16" s="2">
        <v>1.0</v>
      </c>
      <c r="D16" s="2">
        <v>0.92166104199714</v>
      </c>
    </row>
    <row r="17">
      <c r="A17" s="2">
        <v>16.0</v>
      </c>
      <c r="B17" s="2">
        <v>-1.0</v>
      </c>
      <c r="C17" s="2">
        <v>1.0</v>
      </c>
      <c r="D17" s="2">
        <v>0.791661084003862</v>
      </c>
    </row>
    <row r="18">
      <c r="A18" s="2">
        <v>17.0</v>
      </c>
      <c r="B18" s="2">
        <v>-1.0</v>
      </c>
      <c r="C18" s="2">
        <v>1.0</v>
      </c>
      <c r="D18" s="2">
        <v>0.834305625001434</v>
      </c>
    </row>
    <row r="19">
      <c r="A19" s="2">
        <v>18.0</v>
      </c>
      <c r="B19" s="2">
        <v>-1.0</v>
      </c>
      <c r="C19" s="2">
        <v>1.0</v>
      </c>
      <c r="D19" s="2">
        <v>0.680918750003911</v>
      </c>
    </row>
    <row r="20">
      <c r="A20" s="2">
        <v>19.0</v>
      </c>
      <c r="B20" s="2">
        <v>-1.0</v>
      </c>
      <c r="C20" s="2">
        <v>1.0</v>
      </c>
      <c r="D20" s="2">
        <v>0.853510834000189</v>
      </c>
    </row>
    <row r="21">
      <c r="A21" s="2">
        <v>20.0</v>
      </c>
      <c r="B21" s="2">
        <v>1.0</v>
      </c>
      <c r="C21" s="2">
        <v>1.0</v>
      </c>
      <c r="D21" s="2">
        <v>0.803867957998591</v>
      </c>
    </row>
    <row r="22">
      <c r="A22" s="2">
        <v>21.0</v>
      </c>
      <c r="B22" s="2">
        <v>1.0</v>
      </c>
      <c r="C22" s="2">
        <v>1.0</v>
      </c>
      <c r="D22" s="2">
        <v>0.80023170899949</v>
      </c>
    </row>
    <row r="23">
      <c r="A23" s="2">
        <v>22.0</v>
      </c>
      <c r="B23" s="2">
        <v>1.0</v>
      </c>
      <c r="C23" s="2">
        <v>1.0</v>
      </c>
      <c r="D23" s="2">
        <v>1.22609629200451</v>
      </c>
    </row>
    <row r="24">
      <c r="A24" s="2">
        <v>23.0</v>
      </c>
      <c r="B24" s="2">
        <v>1.0</v>
      </c>
      <c r="C24" s="2">
        <v>1.0</v>
      </c>
      <c r="D24" s="2">
        <v>0.798846124998817</v>
      </c>
    </row>
    <row r="25">
      <c r="A25" s="2">
        <v>24.0</v>
      </c>
      <c r="B25" s="2">
        <v>-1.0</v>
      </c>
      <c r="C25" s="2">
        <v>1.0</v>
      </c>
      <c r="D25" s="2">
        <v>0.777725250001822</v>
      </c>
    </row>
    <row r="26">
      <c r="A26" s="2">
        <v>25.0</v>
      </c>
      <c r="B26" s="2">
        <v>1.0</v>
      </c>
      <c r="C26" s="2">
        <v>1.0</v>
      </c>
      <c r="D26" s="2">
        <v>0.789520333004475</v>
      </c>
    </row>
    <row r="27">
      <c r="A27" s="2">
        <v>26.0</v>
      </c>
      <c r="B27" s="2">
        <v>1.0</v>
      </c>
      <c r="C27" s="2">
        <v>1.0</v>
      </c>
      <c r="D27" s="2">
        <v>0.819226666993927</v>
      </c>
    </row>
    <row r="28">
      <c r="A28" s="2">
        <v>27.0</v>
      </c>
      <c r="B28" s="2">
        <v>1.0</v>
      </c>
      <c r="C28" s="2">
        <v>1.0</v>
      </c>
      <c r="D28" s="2">
        <v>0.787792625000292</v>
      </c>
    </row>
    <row r="29">
      <c r="A29" s="2">
        <v>28.0</v>
      </c>
      <c r="B29" s="2">
        <v>1.0</v>
      </c>
      <c r="C29" s="2">
        <v>1.0</v>
      </c>
      <c r="D29" s="2">
        <v>0.851763208003831</v>
      </c>
    </row>
    <row r="30">
      <c r="A30" s="2">
        <v>29.0</v>
      </c>
      <c r="B30" s="2">
        <v>1.0</v>
      </c>
      <c r="C30" s="2">
        <v>1.0</v>
      </c>
      <c r="D30" s="2">
        <v>0.73354012499476</v>
      </c>
    </row>
    <row r="31">
      <c r="A31" s="2">
        <v>30.0</v>
      </c>
      <c r="B31" s="2">
        <v>1.0</v>
      </c>
      <c r="C31" s="2">
        <v>1.0</v>
      </c>
      <c r="D31" s="2">
        <v>0.689668458995583</v>
      </c>
    </row>
    <row r="32">
      <c r="A32" s="2">
        <v>31.0</v>
      </c>
      <c r="B32" s="2">
        <v>1.0</v>
      </c>
      <c r="C32" s="2">
        <v>1.0</v>
      </c>
      <c r="D32" s="2">
        <v>0.591837749998376</v>
      </c>
    </row>
    <row r="33">
      <c r="A33" s="2">
        <v>32.0</v>
      </c>
      <c r="B33" s="2">
        <v>-1.0</v>
      </c>
      <c r="C33" s="2">
        <v>1.0</v>
      </c>
      <c r="D33" s="2">
        <v>0.768700625005294</v>
      </c>
    </row>
    <row r="34">
      <c r="A34" s="2">
        <v>33.0</v>
      </c>
      <c r="B34" s="2">
        <v>-1.0</v>
      </c>
      <c r="C34" s="2">
        <v>1.0</v>
      </c>
      <c r="D34" s="2">
        <v>0.833741791997454</v>
      </c>
    </row>
    <row r="35">
      <c r="A35" s="2">
        <v>34.0</v>
      </c>
      <c r="B35" s="2">
        <v>-1.0</v>
      </c>
      <c r="C35" s="2">
        <v>1.0</v>
      </c>
      <c r="D35" s="2">
        <v>0.648696041003859</v>
      </c>
    </row>
    <row r="36">
      <c r="A36" s="2">
        <v>35.0</v>
      </c>
      <c r="B36" s="2">
        <v>-1.0</v>
      </c>
      <c r="C36" s="2">
        <v>1.0</v>
      </c>
      <c r="D36" s="2">
        <v>0.519518875000358</v>
      </c>
    </row>
    <row r="37">
      <c r="A37" s="2">
        <v>36.0</v>
      </c>
      <c r="B37" s="2">
        <v>1.0</v>
      </c>
      <c r="C37" s="15">
        <v>0.0</v>
      </c>
      <c r="D37" s="2">
        <v>0.401929332998406</v>
      </c>
    </row>
    <row r="38">
      <c r="A38" s="2">
        <v>37.0</v>
      </c>
      <c r="B38" s="2">
        <v>1.0</v>
      </c>
      <c r="C38" s="15">
        <v>1.0</v>
      </c>
      <c r="D38" s="2">
        <v>0.477734624997538</v>
      </c>
    </row>
    <row r="39">
      <c r="A39" s="2">
        <v>38.0</v>
      </c>
      <c r="B39" s="2">
        <v>1.0</v>
      </c>
      <c r="C39" s="2">
        <v>0.0</v>
      </c>
      <c r="D39" s="2">
        <v>0.335499207998509</v>
      </c>
    </row>
    <row r="40">
      <c r="A40" s="2">
        <v>39.0</v>
      </c>
      <c r="B40" s="2">
        <v>-1.0</v>
      </c>
      <c r="C40" s="15">
        <v>0.0</v>
      </c>
      <c r="D40" s="2">
        <v>0.417106041000806</v>
      </c>
    </row>
    <row r="41">
      <c r="A41" s="2">
        <v>40.0</v>
      </c>
      <c r="B41" s="2">
        <v>1.0</v>
      </c>
      <c r="C41" s="15">
        <v>1.0</v>
      </c>
      <c r="D41" s="2">
        <v>0.50594500000443</v>
      </c>
    </row>
    <row r="42">
      <c r="A42" s="2">
        <v>41.0</v>
      </c>
      <c r="B42" s="2">
        <v>-1.0</v>
      </c>
      <c r="C42" s="2">
        <v>1.0</v>
      </c>
      <c r="D42" s="2">
        <v>0.623304207998444</v>
      </c>
    </row>
    <row r="43">
      <c r="A43" s="2">
        <v>42.0</v>
      </c>
      <c r="B43" s="2">
        <v>-1.0</v>
      </c>
      <c r="C43" s="2">
        <v>1.0</v>
      </c>
      <c r="D43" s="2">
        <v>0.508772374996624</v>
      </c>
    </row>
    <row r="44">
      <c r="A44" s="2">
        <v>43.0</v>
      </c>
      <c r="B44" s="2">
        <v>1.0</v>
      </c>
      <c r="C44" s="2">
        <v>0.0</v>
      </c>
      <c r="D44" s="2">
        <v>0.372212708003644</v>
      </c>
    </row>
    <row r="45">
      <c r="A45" s="2">
        <v>44.0</v>
      </c>
      <c r="B45" s="2">
        <v>-6.0</v>
      </c>
      <c r="C45" s="15">
        <v>0.0</v>
      </c>
      <c r="D45" s="2">
        <v>0.456817625003168</v>
      </c>
    </row>
    <row r="46">
      <c r="A46" s="2">
        <v>45.0</v>
      </c>
      <c r="B46" s="2">
        <v>-11.0</v>
      </c>
      <c r="C46" s="15">
        <v>1.0</v>
      </c>
      <c r="D46" s="2">
        <v>0.356038541001908</v>
      </c>
    </row>
    <row r="47">
      <c r="A47" s="2">
        <v>46.0</v>
      </c>
      <c r="B47" s="2">
        <v>11.0</v>
      </c>
      <c r="C47" s="2">
        <v>1.0</v>
      </c>
      <c r="D47" s="2">
        <v>0.690245625002717</v>
      </c>
    </row>
    <row r="48">
      <c r="A48" s="2">
        <v>47.0</v>
      </c>
      <c r="B48" s="2">
        <v>11.0</v>
      </c>
      <c r="C48" s="2">
        <v>1.0</v>
      </c>
      <c r="D48" s="2">
        <v>0.747454415999527</v>
      </c>
    </row>
    <row r="49">
      <c r="A49" s="2">
        <v>48.0</v>
      </c>
      <c r="B49" s="2">
        <v>-6.0</v>
      </c>
      <c r="C49" s="2">
        <v>1.0</v>
      </c>
      <c r="D49" s="2">
        <v>0.625296165999316</v>
      </c>
    </row>
    <row r="50">
      <c r="A50" s="2">
        <v>49.0</v>
      </c>
      <c r="B50" s="2">
        <v>-6.0</v>
      </c>
      <c r="C50" s="2">
        <v>1.0</v>
      </c>
      <c r="D50" s="2">
        <v>0.55588125000213</v>
      </c>
    </row>
    <row r="51">
      <c r="A51" s="2">
        <v>50.0</v>
      </c>
      <c r="B51" s="2">
        <v>6.0</v>
      </c>
      <c r="C51" s="2">
        <v>1.0</v>
      </c>
      <c r="D51" s="2">
        <v>0.504504290998738</v>
      </c>
    </row>
    <row r="52">
      <c r="A52" s="2">
        <v>51.0</v>
      </c>
      <c r="B52" s="2">
        <v>-1.0</v>
      </c>
      <c r="C52" s="2">
        <v>1.0</v>
      </c>
      <c r="D52" s="2">
        <v>0.432658999998238</v>
      </c>
    </row>
    <row r="53">
      <c r="A53" s="2">
        <v>52.0</v>
      </c>
      <c r="B53" s="2">
        <v>1.0</v>
      </c>
      <c r="C53" s="2">
        <v>1.0</v>
      </c>
      <c r="D53" s="2">
        <v>0.547163500006718</v>
      </c>
    </row>
    <row r="54">
      <c r="A54" s="2">
        <v>53.0</v>
      </c>
      <c r="B54" s="2">
        <v>-1.0</v>
      </c>
      <c r="C54" s="2">
        <v>1.0</v>
      </c>
      <c r="D54" s="2">
        <v>0.387862125004176</v>
      </c>
    </row>
    <row r="55">
      <c r="A55" s="2">
        <v>54.0</v>
      </c>
      <c r="B55" s="2">
        <v>1.0</v>
      </c>
      <c r="C55" s="2">
        <v>1.0</v>
      </c>
      <c r="D55" s="2">
        <v>0.46921624999959</v>
      </c>
    </row>
    <row r="56">
      <c r="A56" s="2">
        <v>55.0</v>
      </c>
      <c r="B56" s="2">
        <v>1.0</v>
      </c>
      <c r="C56" s="2">
        <v>0.0</v>
      </c>
      <c r="D56" s="2">
        <v>0.409660500001336</v>
      </c>
    </row>
    <row r="57">
      <c r="A57" s="2">
        <v>56.0</v>
      </c>
      <c r="B57" s="2">
        <v>6.0</v>
      </c>
      <c r="C57" s="15">
        <v>0.0</v>
      </c>
      <c r="D57" s="2">
        <v>0.938944166999135</v>
      </c>
    </row>
    <row r="58">
      <c r="A58" s="2">
        <v>57.0</v>
      </c>
      <c r="B58" s="2">
        <v>-11.0</v>
      </c>
      <c r="C58" s="15">
        <v>1.0</v>
      </c>
      <c r="D58" s="2">
        <v>1.28084795800532</v>
      </c>
    </row>
    <row r="59">
      <c r="A59" s="2">
        <v>58.0</v>
      </c>
      <c r="B59" s="2">
        <v>11.0</v>
      </c>
      <c r="C59" s="2">
        <v>1.0</v>
      </c>
      <c r="D59" s="2">
        <v>0.649332583001523</v>
      </c>
    </row>
    <row r="60">
      <c r="A60" s="2">
        <v>59.0</v>
      </c>
      <c r="B60" s="2">
        <v>11.0</v>
      </c>
      <c r="C60" s="2">
        <v>1.0</v>
      </c>
      <c r="D60" s="2">
        <v>0.518378791995928</v>
      </c>
    </row>
    <row r="61">
      <c r="A61" s="2">
        <v>60.0</v>
      </c>
      <c r="B61" s="2">
        <v>-6.0</v>
      </c>
      <c r="C61" s="2">
        <v>1.0</v>
      </c>
      <c r="D61" s="2">
        <v>0.484613207998336</v>
      </c>
    </row>
    <row r="62">
      <c r="A62" s="2">
        <v>61.0</v>
      </c>
      <c r="B62" s="2">
        <v>6.0</v>
      </c>
      <c r="C62" s="2">
        <v>1.0</v>
      </c>
      <c r="D62" s="2">
        <v>0.523945041000843</v>
      </c>
    </row>
    <row r="63">
      <c r="A63" s="2">
        <v>62.0</v>
      </c>
      <c r="B63" s="2">
        <v>6.0</v>
      </c>
      <c r="C63" s="2">
        <v>1.0</v>
      </c>
      <c r="D63" s="2">
        <v>0.605954541002574</v>
      </c>
    </row>
    <row r="64">
      <c r="A64" s="2">
        <v>63.0</v>
      </c>
      <c r="B64" s="2">
        <v>1.0</v>
      </c>
      <c r="C64" s="15">
        <v>0.0</v>
      </c>
      <c r="D64" s="2">
        <v>0.481168042002536</v>
      </c>
    </row>
    <row r="65">
      <c r="A65" s="2">
        <v>64.0</v>
      </c>
      <c r="B65" s="2">
        <v>-6.0</v>
      </c>
      <c r="C65" s="15">
        <v>1.0</v>
      </c>
      <c r="D65" s="2">
        <v>0.684044000001449</v>
      </c>
    </row>
    <row r="66">
      <c r="A66" s="2">
        <v>65.0</v>
      </c>
      <c r="B66" s="2">
        <v>-6.0</v>
      </c>
      <c r="C66" s="2">
        <v>1.0</v>
      </c>
      <c r="D66" s="2">
        <v>0.543587207997916</v>
      </c>
    </row>
    <row r="67">
      <c r="A67" s="2">
        <v>66.0</v>
      </c>
      <c r="B67" s="2">
        <v>6.0</v>
      </c>
      <c r="C67" s="2">
        <v>1.0</v>
      </c>
      <c r="D67" s="2">
        <v>0.592537459000595</v>
      </c>
    </row>
    <row r="68">
      <c r="A68" s="2">
        <v>67.0</v>
      </c>
      <c r="B68" s="2">
        <v>-1.0</v>
      </c>
      <c r="C68" s="2">
        <v>1.0</v>
      </c>
      <c r="D68" s="2">
        <v>0.728746624998166</v>
      </c>
    </row>
    <row r="69">
      <c r="A69" s="2">
        <v>68.0</v>
      </c>
      <c r="B69" s="2">
        <v>-1.0</v>
      </c>
      <c r="C69" s="2">
        <v>1.0</v>
      </c>
      <c r="D69" s="2">
        <v>0.756274209001276</v>
      </c>
    </row>
    <row r="70">
      <c r="A70" s="2">
        <v>69.0</v>
      </c>
      <c r="B70" s="2">
        <v>-1.0</v>
      </c>
      <c r="C70" s="2">
        <v>1.0</v>
      </c>
      <c r="D70" s="2">
        <v>0.774433584003418</v>
      </c>
    </row>
    <row r="71">
      <c r="A71" s="2">
        <v>70.0</v>
      </c>
      <c r="B71" s="2">
        <v>-1.0</v>
      </c>
      <c r="C71" s="2">
        <v>1.0</v>
      </c>
      <c r="D71" s="2">
        <v>0.873915542004397</v>
      </c>
    </row>
    <row r="72">
      <c r="A72" s="2">
        <v>71.0</v>
      </c>
      <c r="B72" s="2">
        <v>1.0</v>
      </c>
      <c r="C72" s="2">
        <v>1.0</v>
      </c>
      <c r="D72" s="2">
        <v>0.99666525000066</v>
      </c>
    </row>
    <row r="73">
      <c r="A73" s="2">
        <v>72.0</v>
      </c>
      <c r="B73" s="2">
        <v>-1.0</v>
      </c>
      <c r="C73" s="2">
        <v>0.0</v>
      </c>
      <c r="D73" s="2">
        <v>0.865899249998619</v>
      </c>
    </row>
    <row r="74">
      <c r="A74" s="2">
        <v>73.0</v>
      </c>
      <c r="B74" s="2">
        <v>-6.0</v>
      </c>
      <c r="C74" s="2">
        <v>0.0</v>
      </c>
      <c r="D74" s="2">
        <v>1.05420508400129</v>
      </c>
    </row>
    <row r="75">
      <c r="A75" s="2">
        <v>74.0</v>
      </c>
      <c r="B75" s="2">
        <v>11.0</v>
      </c>
      <c r="C75" s="15">
        <v>0.0</v>
      </c>
      <c r="D75" s="2">
        <v>0.803251166995323</v>
      </c>
    </row>
    <row r="76">
      <c r="A76" s="2">
        <v>75.0</v>
      </c>
      <c r="B76" s="2">
        <v>16.0</v>
      </c>
      <c r="C76" s="15">
        <v>1.0</v>
      </c>
      <c r="D76" s="2">
        <v>0.821584958001039</v>
      </c>
    </row>
    <row r="77">
      <c r="A77" s="2">
        <v>76.0</v>
      </c>
      <c r="B77" s="2">
        <v>16.0</v>
      </c>
      <c r="C77" s="2">
        <v>1.0</v>
      </c>
      <c r="D77" s="2">
        <v>1.29533987500326</v>
      </c>
    </row>
    <row r="78">
      <c r="A78" s="2">
        <v>77.0</v>
      </c>
      <c r="B78" s="2">
        <v>16.0</v>
      </c>
      <c r="C78" s="2">
        <v>1.0</v>
      </c>
      <c r="D78" s="2">
        <v>0.56138225000177</v>
      </c>
    </row>
    <row r="79">
      <c r="A79" s="2">
        <v>78.0</v>
      </c>
      <c r="B79" s="2">
        <v>11.0</v>
      </c>
      <c r="C79" s="2">
        <v>1.0</v>
      </c>
      <c r="D79" s="2">
        <v>0.745812624998507</v>
      </c>
    </row>
    <row r="80">
      <c r="A80" s="2">
        <v>79.0</v>
      </c>
      <c r="B80" s="2">
        <v>11.0</v>
      </c>
      <c r="C80" s="2">
        <v>1.0</v>
      </c>
      <c r="D80" s="2">
        <v>0.917609374999301</v>
      </c>
    </row>
    <row r="81">
      <c r="A81" s="2">
        <v>80.0</v>
      </c>
      <c r="B81" s="2">
        <v>-11.0</v>
      </c>
      <c r="C81" s="2">
        <v>1.0</v>
      </c>
      <c r="D81" s="2">
        <v>0.82058554199466</v>
      </c>
    </row>
    <row r="82">
      <c r="A82" s="2">
        <v>81.0</v>
      </c>
      <c r="B82" s="2">
        <v>6.0</v>
      </c>
      <c r="C82" s="2">
        <v>1.0</v>
      </c>
      <c r="D82" s="2">
        <v>0.621431332998327</v>
      </c>
    </row>
    <row r="83">
      <c r="A83" s="2">
        <v>82.0</v>
      </c>
      <c r="B83" s="2">
        <v>-6.0</v>
      </c>
      <c r="C83" s="2">
        <v>1.0</v>
      </c>
      <c r="D83" s="2">
        <v>0.448947624994616</v>
      </c>
    </row>
    <row r="84">
      <c r="A84" s="2">
        <v>83.0</v>
      </c>
      <c r="B84" s="2">
        <v>6.0</v>
      </c>
      <c r="C84" s="2">
        <v>1.0</v>
      </c>
      <c r="D84" s="2">
        <v>0.471294416995078</v>
      </c>
    </row>
    <row r="85">
      <c r="A85" s="2">
        <v>84.0</v>
      </c>
      <c r="B85" s="2">
        <v>-1.0</v>
      </c>
      <c r="C85" s="2">
        <v>1.0</v>
      </c>
      <c r="D85" s="2">
        <v>0.878901541000232</v>
      </c>
    </row>
    <row r="86">
      <c r="A86" s="2">
        <v>85.0</v>
      </c>
      <c r="B86" s="2">
        <v>-1.0</v>
      </c>
      <c r="C86" s="15">
        <v>0.0</v>
      </c>
      <c r="D86" s="2">
        <v>1.03755170799558</v>
      </c>
    </row>
    <row r="87">
      <c r="A87" s="2">
        <v>86.0</v>
      </c>
      <c r="B87" s="2">
        <v>6.0</v>
      </c>
      <c r="C87" s="15">
        <v>1.0</v>
      </c>
      <c r="D87" s="2">
        <v>0.54248287500377</v>
      </c>
    </row>
    <row r="88">
      <c r="A88" s="2">
        <v>87.0</v>
      </c>
      <c r="B88" s="2">
        <v>6.0</v>
      </c>
      <c r="C88" s="2">
        <v>1.0</v>
      </c>
      <c r="D88" s="2">
        <v>0.608547249998082</v>
      </c>
    </row>
    <row r="89">
      <c r="A89" s="2">
        <v>88.0</v>
      </c>
      <c r="B89" s="2">
        <v>-6.0</v>
      </c>
      <c r="C89" s="2">
        <v>1.0</v>
      </c>
      <c r="D89" s="2">
        <v>0.61860483399505</v>
      </c>
    </row>
    <row r="90">
      <c r="A90" s="2">
        <v>89.0</v>
      </c>
      <c r="B90" s="2">
        <v>-1.0</v>
      </c>
      <c r="C90" s="2">
        <v>1.0</v>
      </c>
      <c r="D90" s="2">
        <v>0.839390291999734</v>
      </c>
    </row>
    <row r="91">
      <c r="A91" s="2">
        <v>90.0</v>
      </c>
      <c r="B91" s="2">
        <v>-1.0</v>
      </c>
      <c r="C91" s="2">
        <v>1.0</v>
      </c>
      <c r="D91" s="2">
        <v>0.818063332997553</v>
      </c>
    </row>
    <row r="92">
      <c r="A92" s="2">
        <v>91.0</v>
      </c>
      <c r="B92" s="2">
        <v>-1.0</v>
      </c>
      <c r="C92" s="2">
        <v>1.0</v>
      </c>
      <c r="D92" s="2">
        <v>0.950926458004687</v>
      </c>
    </row>
    <row r="93">
      <c r="A93" s="2">
        <v>92.0</v>
      </c>
      <c r="B93" s="2">
        <v>1.0</v>
      </c>
      <c r="C93" s="2">
        <v>1.0</v>
      </c>
      <c r="D93" s="2">
        <v>0.816697415997623</v>
      </c>
    </row>
    <row r="94">
      <c r="A94" s="2">
        <v>93.0</v>
      </c>
      <c r="B94" s="2">
        <v>1.0</v>
      </c>
      <c r="C94" s="2">
        <v>1.0</v>
      </c>
      <c r="D94" s="2">
        <v>0.75508316700143</v>
      </c>
    </row>
    <row r="95">
      <c r="A95" s="2">
        <v>94.0</v>
      </c>
      <c r="B95" s="2">
        <v>-1.0</v>
      </c>
      <c r="C95" s="2">
        <v>0.0</v>
      </c>
      <c r="D95" s="2">
        <v>0.72442824999598</v>
      </c>
    </row>
    <row r="96">
      <c r="A96" s="2">
        <v>95.0</v>
      </c>
      <c r="B96" s="2">
        <v>6.0</v>
      </c>
      <c r="C96" s="15">
        <v>0.0</v>
      </c>
      <c r="D96" s="2">
        <v>0.872911874997953</v>
      </c>
    </row>
    <row r="97">
      <c r="A97" s="2">
        <v>96.0</v>
      </c>
      <c r="B97" s="2">
        <v>11.0</v>
      </c>
      <c r="C97" s="15">
        <v>1.0</v>
      </c>
      <c r="D97" s="2">
        <v>0.749376915999164</v>
      </c>
    </row>
    <row r="98">
      <c r="A98" s="2">
        <v>97.0</v>
      </c>
      <c r="B98" s="2">
        <v>11.0</v>
      </c>
      <c r="C98" s="2">
        <v>1.0</v>
      </c>
      <c r="D98" s="2">
        <v>0.813374582998221</v>
      </c>
    </row>
    <row r="99">
      <c r="A99" s="2">
        <v>98.0</v>
      </c>
      <c r="B99" s="2">
        <v>11.0</v>
      </c>
      <c r="C99" s="2">
        <v>1.0</v>
      </c>
      <c r="D99" s="2">
        <v>0.683582750003552</v>
      </c>
    </row>
    <row r="100">
      <c r="A100" s="2">
        <v>99.0</v>
      </c>
      <c r="B100" s="2">
        <v>-6.0</v>
      </c>
      <c r="C100" s="2">
        <v>1.0</v>
      </c>
      <c r="D100" s="2">
        <v>0.596433416998479</v>
      </c>
    </row>
    <row r="101">
      <c r="A101" s="2">
        <v>100.0</v>
      </c>
      <c r="B101" s="2">
        <v>6.0</v>
      </c>
      <c r="C101" s="2">
        <v>1.0</v>
      </c>
      <c r="D101" s="2">
        <v>0.762689208997471</v>
      </c>
    </row>
  </sheetData>
  <mergeCells count="6">
    <mergeCell ref="F2:H2"/>
    <mergeCell ref="F4:F5"/>
    <mergeCell ref="F6:F7"/>
    <mergeCell ref="F8:F9"/>
    <mergeCell ref="F10:F11"/>
    <mergeCell ref="F12:F13"/>
  </mergeCells>
  <drawing r:id="rId1"/>
</worksheet>
</file>