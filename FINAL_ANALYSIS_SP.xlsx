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  <sheet state="visible" name="P5" sheetId="5" r:id="rId8"/>
    <sheet state="visible" name="P6" sheetId="6" r:id="rId9"/>
    <sheet state="visible" name="P7" sheetId="7" r:id="rId10"/>
    <sheet state="visible" name="P8" sheetId="8" r:id="rId11"/>
    <sheet state="visible" name="Compiled Data" sheetId="9" r:id="rId12"/>
  </sheets>
  <definedNames/>
  <calcPr/>
</workbook>
</file>

<file path=xl/sharedStrings.xml><?xml version="1.0" encoding="utf-8"?>
<sst xmlns="http://schemas.openxmlformats.org/spreadsheetml/2006/main" count="573" uniqueCount="42">
  <si>
    <t>imgfile</t>
  </si>
  <si>
    <t>img_brightness</t>
  </si>
  <si>
    <t>old_new</t>
  </si>
  <si>
    <t>CorrectAns</t>
  </si>
  <si>
    <t>key_resp_3.keys</t>
  </si>
  <si>
    <t>key_resp_3.corr</t>
  </si>
  <si>
    <t>key_resp_3.rt</t>
  </si>
  <si>
    <t>images/foil_black3.jpg</t>
  </si>
  <si>
    <t>bright</t>
  </si>
  <si>
    <t>new</t>
  </si>
  <si>
    <t>n</t>
  </si>
  <si>
    <t>images/foil_white1.jpg</t>
  </si>
  <si>
    <t>images/yellow1.jpg</t>
  </si>
  <si>
    <t>old</t>
  </si>
  <si>
    <t>y</t>
  </si>
  <si>
    <t>images/foil_green1.jpg</t>
  </si>
  <si>
    <t>images/foil_black1.jpg</t>
  </si>
  <si>
    <t>images/shallowblue1.jpg</t>
  </si>
  <si>
    <t>dark</t>
  </si>
  <si>
    <t>images/black2.jpg</t>
  </si>
  <si>
    <t>images/red1.jpeg</t>
  </si>
  <si>
    <t>images/foil_green2.jpg</t>
  </si>
  <si>
    <t>images/foil_white2.jpeg</t>
  </si>
  <si>
    <t>images/foil_shallowblue1.jpeg</t>
  </si>
  <si>
    <t>images/foil_black2.jpg</t>
  </si>
  <si>
    <t>BrightRT</t>
  </si>
  <si>
    <t>DarkRT</t>
  </si>
  <si>
    <t>AcurracyBright</t>
  </si>
  <si>
    <t>AcurracyDark</t>
  </si>
  <si>
    <t>images/red2.jpg</t>
  </si>
  <si>
    <t>images/green1.jpg</t>
  </si>
  <si>
    <t>images/black1.jpg</t>
  </si>
  <si>
    <t>images/white1.jpg</t>
  </si>
  <si>
    <t>images/foil_red1.jpeg</t>
  </si>
  <si>
    <t>images/darkblue1.jpg</t>
  </si>
  <si>
    <t>images/green2.jpg</t>
  </si>
  <si>
    <t>images/foil_yellow1.jpg</t>
  </si>
  <si>
    <t>images/black3.jpg</t>
  </si>
  <si>
    <t>images/white2.jpeg</t>
  </si>
  <si>
    <t>images/foil_darkblue1.jpg</t>
  </si>
  <si>
    <t>images/foil_red2.jpg</t>
  </si>
  <si>
    <t xml:space="preserve">Particpant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</si>
</sst>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1.0</v>
      </c>
      <c r="G2" s="1">
        <v>1.99473733299964</v>
      </c>
    </row>
    <row r="3">
      <c r="A3" s="1" t="s">
        <v>11</v>
      </c>
      <c r="B3" s="1" t="s">
        <v>8</v>
      </c>
      <c r="C3" s="1" t="s">
        <v>9</v>
      </c>
      <c r="D3" s="1" t="s">
        <v>10</v>
      </c>
      <c r="E3" s="1" t="s">
        <v>10</v>
      </c>
      <c r="F3" s="1">
        <v>1.0</v>
      </c>
      <c r="G3" s="1">
        <v>0.712523624999448</v>
      </c>
    </row>
    <row r="4">
      <c r="A4" s="1" t="s">
        <v>12</v>
      </c>
      <c r="B4" s="1" t="s">
        <v>8</v>
      </c>
      <c r="C4" s="1" t="s">
        <v>13</v>
      </c>
      <c r="D4" s="1" t="s">
        <v>14</v>
      </c>
      <c r="E4" s="1" t="s">
        <v>14</v>
      </c>
      <c r="F4" s="1">
        <v>1.0</v>
      </c>
      <c r="G4" s="1">
        <v>0.877003458001127</v>
      </c>
    </row>
    <row r="5">
      <c r="A5" s="1" t="s">
        <v>15</v>
      </c>
      <c r="B5" s="1" t="s">
        <v>8</v>
      </c>
      <c r="C5" s="1" t="s">
        <v>9</v>
      </c>
      <c r="D5" s="1" t="s">
        <v>10</v>
      </c>
      <c r="E5" s="1" t="s">
        <v>10</v>
      </c>
      <c r="F5" s="1">
        <v>1.0</v>
      </c>
      <c r="G5" s="1">
        <v>1.05605841700162</v>
      </c>
    </row>
    <row r="6">
      <c r="A6" s="1" t="s">
        <v>16</v>
      </c>
      <c r="B6" s="1" t="s">
        <v>8</v>
      </c>
      <c r="C6" s="1" t="s">
        <v>9</v>
      </c>
      <c r="D6" s="1" t="s">
        <v>10</v>
      </c>
      <c r="E6" s="1" t="s">
        <v>10</v>
      </c>
      <c r="F6" s="1">
        <v>1.0</v>
      </c>
      <c r="G6" s="1">
        <v>0.983925582997471</v>
      </c>
    </row>
    <row r="7">
      <c r="A7" s="1"/>
      <c r="B7" s="1"/>
      <c r="C7" s="1"/>
      <c r="D7" s="1"/>
      <c r="E7" s="1"/>
      <c r="F7" s="1"/>
      <c r="G7" s="1"/>
    </row>
    <row r="8">
      <c r="A8" s="1" t="s">
        <v>17</v>
      </c>
      <c r="B8" s="1" t="s">
        <v>18</v>
      </c>
      <c r="C8" s="1" t="s">
        <v>13</v>
      </c>
      <c r="D8" s="1" t="s">
        <v>14</v>
      </c>
      <c r="E8" s="1" t="s">
        <v>14</v>
      </c>
      <c r="F8" s="1">
        <v>1.0</v>
      </c>
      <c r="G8" s="1">
        <v>0.870889915997395</v>
      </c>
    </row>
    <row r="9">
      <c r="A9" s="1" t="s">
        <v>19</v>
      </c>
      <c r="B9" s="1" t="s">
        <v>18</v>
      </c>
      <c r="C9" s="1" t="s">
        <v>13</v>
      </c>
      <c r="D9" s="1" t="s">
        <v>14</v>
      </c>
      <c r="E9" s="1" t="s">
        <v>14</v>
      </c>
      <c r="F9" s="1">
        <v>1.0</v>
      </c>
      <c r="G9" s="1">
        <v>1.12660266699822</v>
      </c>
    </row>
    <row r="10">
      <c r="A10" s="1" t="s">
        <v>20</v>
      </c>
      <c r="B10" s="1" t="s">
        <v>18</v>
      </c>
      <c r="C10" s="1" t="s">
        <v>13</v>
      </c>
      <c r="D10" s="1" t="s">
        <v>14</v>
      </c>
      <c r="E10" s="1" t="s">
        <v>14</v>
      </c>
      <c r="F10" s="1">
        <v>1.0</v>
      </c>
      <c r="G10" s="1">
        <v>0.787042582996946</v>
      </c>
    </row>
    <row r="11">
      <c r="A11" s="1" t="s">
        <v>21</v>
      </c>
      <c r="B11" s="1" t="s">
        <v>18</v>
      </c>
      <c r="C11" s="1" t="s">
        <v>9</v>
      </c>
      <c r="D11" s="1" t="s">
        <v>10</v>
      </c>
      <c r="E11" s="1" t="s">
        <v>10</v>
      </c>
      <c r="F11" s="1">
        <v>1.0</v>
      </c>
      <c r="G11" s="1">
        <v>0.817501834000722</v>
      </c>
    </row>
    <row r="12">
      <c r="A12" s="1" t="s">
        <v>22</v>
      </c>
      <c r="B12" s="1" t="s">
        <v>18</v>
      </c>
      <c r="C12" s="1" t="s">
        <v>9</v>
      </c>
      <c r="D12" s="1" t="s">
        <v>10</v>
      </c>
      <c r="E12" s="1" t="s">
        <v>10</v>
      </c>
      <c r="F12" s="1">
        <v>1.0</v>
      </c>
      <c r="G12" s="1">
        <v>0.842295583002851</v>
      </c>
    </row>
    <row r="13">
      <c r="A13" s="1" t="s">
        <v>23</v>
      </c>
      <c r="B13" s="1" t="s">
        <v>18</v>
      </c>
      <c r="C13" s="1" t="s">
        <v>9</v>
      </c>
      <c r="D13" s="1" t="s">
        <v>10</v>
      </c>
      <c r="E13" s="1" t="s">
        <v>10</v>
      </c>
      <c r="F13" s="1">
        <v>1.0</v>
      </c>
      <c r="G13" s="1">
        <v>0.82950633299697</v>
      </c>
    </row>
    <row r="14">
      <c r="A14" s="1" t="s">
        <v>24</v>
      </c>
      <c r="B14" s="1" t="s">
        <v>18</v>
      </c>
      <c r="C14" s="1" t="s">
        <v>9</v>
      </c>
      <c r="D14" s="1" t="s">
        <v>10</v>
      </c>
      <c r="E14" s="1" t="s">
        <v>10</v>
      </c>
      <c r="F14" s="1">
        <v>1.0</v>
      </c>
      <c r="G14" s="1">
        <v>0.707978792001085</v>
      </c>
    </row>
    <row r="16">
      <c r="E16" s="2" t="s">
        <v>25</v>
      </c>
      <c r="F16" s="3">
        <f>AVERAGE(G2:G6)</f>
        <v>1.124849683</v>
      </c>
    </row>
    <row r="17">
      <c r="E17" s="2" t="s">
        <v>26</v>
      </c>
      <c r="F17" s="3">
        <f>AVERAGE(G8:G14)</f>
        <v>0.8545453869</v>
      </c>
    </row>
    <row r="18">
      <c r="E18" s="4" t="s">
        <v>27</v>
      </c>
      <c r="F18" s="5">
        <f>AVERAGE(F2:F6)*100</f>
        <v>100</v>
      </c>
    </row>
    <row r="19">
      <c r="E19" s="4" t="s">
        <v>28</v>
      </c>
      <c r="F19" s="5">
        <f>AVERAGE(F8:F14)*100</f>
        <v>100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>
      <c r="A2" s="6" t="s">
        <v>29</v>
      </c>
      <c r="B2" s="7" t="s">
        <v>8</v>
      </c>
      <c r="C2" s="7" t="s">
        <v>13</v>
      </c>
      <c r="D2" s="7" t="s">
        <v>14</v>
      </c>
      <c r="E2" s="7" t="s">
        <v>14</v>
      </c>
      <c r="F2" s="7">
        <v>1.0</v>
      </c>
      <c r="G2" s="7">
        <v>0.668181832999835</v>
      </c>
    </row>
    <row r="3">
      <c r="A3" s="6" t="s">
        <v>30</v>
      </c>
      <c r="B3" s="7" t="s">
        <v>8</v>
      </c>
      <c r="C3" s="7" t="s">
        <v>13</v>
      </c>
      <c r="D3" s="7" t="s">
        <v>14</v>
      </c>
      <c r="E3" s="7" t="s">
        <v>14</v>
      </c>
      <c r="F3" s="7">
        <v>1.0</v>
      </c>
      <c r="G3" s="7">
        <v>0.590954582999984</v>
      </c>
    </row>
    <row r="4">
      <c r="A4" s="6" t="s">
        <v>12</v>
      </c>
      <c r="B4" s="7" t="s">
        <v>8</v>
      </c>
      <c r="C4" s="7" t="s">
        <v>13</v>
      </c>
      <c r="D4" s="7" t="s">
        <v>14</v>
      </c>
      <c r="E4" s="7" t="s">
        <v>14</v>
      </c>
      <c r="F4" s="7">
        <v>1.0</v>
      </c>
      <c r="G4" s="7">
        <v>0.63148658299906</v>
      </c>
    </row>
    <row r="5">
      <c r="A5" s="6" t="s">
        <v>31</v>
      </c>
      <c r="B5" s="7" t="s">
        <v>8</v>
      </c>
      <c r="C5" s="7" t="s">
        <v>13</v>
      </c>
      <c r="D5" s="7" t="s">
        <v>14</v>
      </c>
      <c r="E5" s="7" t="s">
        <v>14</v>
      </c>
      <c r="F5" s="7">
        <v>1.0</v>
      </c>
      <c r="G5" s="7">
        <v>0.559243625000818</v>
      </c>
    </row>
    <row r="6">
      <c r="A6" s="6" t="s">
        <v>32</v>
      </c>
      <c r="B6" s="7" t="s">
        <v>8</v>
      </c>
      <c r="C6" s="7" t="s">
        <v>13</v>
      </c>
      <c r="D6" s="7" t="s">
        <v>14</v>
      </c>
      <c r="E6" s="7" t="s">
        <v>10</v>
      </c>
      <c r="F6" s="6">
        <v>0.0</v>
      </c>
      <c r="G6" s="7"/>
    </row>
    <row r="7">
      <c r="A7" s="6"/>
      <c r="B7" s="7"/>
      <c r="C7" s="7"/>
      <c r="D7" s="7"/>
      <c r="E7" s="7"/>
      <c r="F7" s="7"/>
      <c r="G7" s="7"/>
    </row>
    <row r="8">
      <c r="A8" s="6" t="s">
        <v>24</v>
      </c>
      <c r="B8" s="7" t="s">
        <v>18</v>
      </c>
      <c r="C8" s="7" t="s">
        <v>9</v>
      </c>
      <c r="D8" s="7" t="s">
        <v>10</v>
      </c>
      <c r="E8" s="7" t="s">
        <v>10</v>
      </c>
      <c r="F8" s="7">
        <v>1.0</v>
      </c>
      <c r="G8" s="7">
        <v>1.27290608299882</v>
      </c>
    </row>
    <row r="9">
      <c r="A9" s="6" t="s">
        <v>33</v>
      </c>
      <c r="B9" s="7" t="s">
        <v>18</v>
      </c>
      <c r="C9" s="7" t="s">
        <v>9</v>
      </c>
      <c r="D9" s="7" t="s">
        <v>10</v>
      </c>
      <c r="E9" s="7" t="s">
        <v>10</v>
      </c>
      <c r="F9" s="7">
        <v>1.0</v>
      </c>
      <c r="G9" s="7">
        <v>1.05753945800097</v>
      </c>
    </row>
    <row r="10">
      <c r="A10" s="6" t="s">
        <v>23</v>
      </c>
      <c r="B10" s="7" t="s">
        <v>18</v>
      </c>
      <c r="C10" s="7" t="s">
        <v>9</v>
      </c>
      <c r="D10" s="7" t="s">
        <v>10</v>
      </c>
      <c r="E10" s="7" t="s">
        <v>10</v>
      </c>
      <c r="F10" s="7">
        <v>1.0</v>
      </c>
      <c r="G10" s="7">
        <v>0.688256458000979</v>
      </c>
    </row>
    <row r="11">
      <c r="A11" s="6" t="s">
        <v>34</v>
      </c>
      <c r="B11" s="7" t="s">
        <v>18</v>
      </c>
      <c r="C11" s="7" t="s">
        <v>13</v>
      </c>
      <c r="D11" s="7" t="s">
        <v>14</v>
      </c>
      <c r="E11" s="7" t="s">
        <v>14</v>
      </c>
      <c r="F11" s="7">
        <v>1.0</v>
      </c>
      <c r="G11" s="7">
        <v>0.980228166998131</v>
      </c>
    </row>
    <row r="12">
      <c r="A12" s="6" t="s">
        <v>35</v>
      </c>
      <c r="B12" s="7" t="s">
        <v>18</v>
      </c>
      <c r="C12" s="7" t="s">
        <v>13</v>
      </c>
      <c r="D12" s="7" t="s">
        <v>14</v>
      </c>
      <c r="E12" s="7" t="s">
        <v>14</v>
      </c>
      <c r="F12" s="7">
        <v>1.0</v>
      </c>
      <c r="G12" s="7">
        <v>0.551547541002947</v>
      </c>
    </row>
    <row r="13">
      <c r="A13" s="6" t="s">
        <v>20</v>
      </c>
      <c r="B13" s="7" t="s">
        <v>18</v>
      </c>
      <c r="C13" s="7" t="s">
        <v>13</v>
      </c>
      <c r="D13" s="7" t="s">
        <v>14</v>
      </c>
      <c r="E13" s="7" t="s">
        <v>14</v>
      </c>
      <c r="F13" s="7">
        <v>1.0</v>
      </c>
      <c r="G13" s="7">
        <v>1.26556220800194</v>
      </c>
    </row>
    <row r="14">
      <c r="A14" s="6" t="s">
        <v>21</v>
      </c>
      <c r="B14" s="7" t="s">
        <v>18</v>
      </c>
      <c r="C14" s="7" t="s">
        <v>9</v>
      </c>
      <c r="D14" s="7" t="s">
        <v>10</v>
      </c>
      <c r="E14" s="7" t="s">
        <v>10</v>
      </c>
      <c r="F14" s="7">
        <v>1.0</v>
      </c>
      <c r="G14" s="7">
        <v>0.687456790998112</v>
      </c>
    </row>
    <row r="16">
      <c r="F16" s="2" t="s">
        <v>25</v>
      </c>
      <c r="G16" s="3">
        <f>AVERAGE(G1:G6)</f>
        <v>0.612466656</v>
      </c>
    </row>
    <row r="17">
      <c r="F17" s="2" t="s">
        <v>26</v>
      </c>
      <c r="G17" s="3">
        <f>AVERAGE(G8:G14)</f>
        <v>0.929070958</v>
      </c>
    </row>
    <row r="18">
      <c r="F18" s="4" t="s">
        <v>27</v>
      </c>
      <c r="G18" s="5">
        <f>AVERAGE(F2:F6)*100</f>
        <v>80</v>
      </c>
    </row>
    <row r="19">
      <c r="F19" s="4" t="s">
        <v>28</v>
      </c>
      <c r="G19" s="5">
        <f>AVERAGE(F8:F14)*100</f>
        <v>100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>
      <c r="A2" s="6" t="s">
        <v>36</v>
      </c>
      <c r="B2" s="7" t="s">
        <v>8</v>
      </c>
      <c r="C2" s="7" t="s">
        <v>9</v>
      </c>
      <c r="D2" s="7" t="s">
        <v>10</v>
      </c>
      <c r="E2" s="7" t="s">
        <v>10</v>
      </c>
      <c r="F2" s="7">
        <v>1.0</v>
      </c>
      <c r="G2" s="7">
        <v>1.03640516700034</v>
      </c>
    </row>
    <row r="3">
      <c r="A3" s="6" t="s">
        <v>32</v>
      </c>
      <c r="B3" s="7" t="s">
        <v>8</v>
      </c>
      <c r="C3" s="7" t="s">
        <v>13</v>
      </c>
      <c r="D3" s="7" t="s">
        <v>14</v>
      </c>
      <c r="E3" s="7" t="s">
        <v>14</v>
      </c>
      <c r="F3" s="7">
        <v>1.0</v>
      </c>
      <c r="G3" s="7">
        <v>0.712993499000731</v>
      </c>
    </row>
    <row r="4">
      <c r="A4" s="6" t="s">
        <v>37</v>
      </c>
      <c r="B4" s="7" t="s">
        <v>8</v>
      </c>
      <c r="C4" s="7" t="s">
        <v>13</v>
      </c>
      <c r="D4" s="7" t="s">
        <v>14</v>
      </c>
      <c r="E4" s="7" t="s">
        <v>14</v>
      </c>
      <c r="F4" s="7">
        <v>1.0</v>
      </c>
      <c r="G4" s="7">
        <v>0.669614291000471</v>
      </c>
    </row>
    <row r="5">
      <c r="A5" s="6" t="s">
        <v>7</v>
      </c>
      <c r="B5" s="7" t="s">
        <v>8</v>
      </c>
      <c r="C5" s="7" t="s">
        <v>9</v>
      </c>
      <c r="D5" s="7" t="s">
        <v>10</v>
      </c>
      <c r="E5" s="7" t="s">
        <v>10</v>
      </c>
      <c r="F5" s="7">
        <v>1.0</v>
      </c>
      <c r="G5" s="7">
        <v>0.988395415999548</v>
      </c>
    </row>
    <row r="6">
      <c r="A6" s="6" t="s">
        <v>30</v>
      </c>
      <c r="B6" s="7" t="s">
        <v>8</v>
      </c>
      <c r="C6" s="7" t="s">
        <v>13</v>
      </c>
      <c r="D6" s="7" t="s">
        <v>14</v>
      </c>
      <c r="E6" s="7" t="s">
        <v>10</v>
      </c>
      <c r="F6" s="7">
        <v>0.0</v>
      </c>
      <c r="G6" s="7"/>
    </row>
    <row r="7">
      <c r="A7" s="6" t="s">
        <v>16</v>
      </c>
      <c r="B7" s="7" t="s">
        <v>8</v>
      </c>
      <c r="C7" s="7" t="s">
        <v>9</v>
      </c>
      <c r="D7" s="7" t="s">
        <v>10</v>
      </c>
      <c r="E7" s="7" t="s">
        <v>10</v>
      </c>
      <c r="F7" s="7">
        <v>1.0</v>
      </c>
      <c r="G7" s="7">
        <v>0.94850954100184</v>
      </c>
    </row>
    <row r="8">
      <c r="A8" s="6"/>
      <c r="B8" s="7"/>
      <c r="C8" s="7"/>
      <c r="D8" s="7"/>
      <c r="E8" s="7"/>
      <c r="F8" s="7"/>
      <c r="G8" s="7"/>
    </row>
    <row r="9">
      <c r="A9" s="6" t="s">
        <v>38</v>
      </c>
      <c r="B9" s="7" t="s">
        <v>18</v>
      </c>
      <c r="C9" s="7" t="s">
        <v>13</v>
      </c>
      <c r="D9" s="7" t="s">
        <v>14</v>
      </c>
      <c r="E9" s="7" t="s">
        <v>14</v>
      </c>
      <c r="F9" s="7">
        <v>1.0</v>
      </c>
      <c r="G9" s="7">
        <v>2.72393695799838</v>
      </c>
    </row>
    <row r="10">
      <c r="A10" s="6" t="s">
        <v>17</v>
      </c>
      <c r="B10" s="7" t="s">
        <v>18</v>
      </c>
      <c r="C10" s="7" t="s">
        <v>13</v>
      </c>
      <c r="D10" s="7" t="s">
        <v>14</v>
      </c>
      <c r="E10" s="7" t="s">
        <v>14</v>
      </c>
      <c r="F10" s="7">
        <v>1.0</v>
      </c>
      <c r="G10" s="7">
        <v>0.812385957997321</v>
      </c>
    </row>
    <row r="11">
      <c r="A11" s="6" t="s">
        <v>24</v>
      </c>
      <c r="B11" s="7" t="s">
        <v>18</v>
      </c>
      <c r="C11" s="7" t="s">
        <v>9</v>
      </c>
      <c r="D11" s="7" t="s">
        <v>10</v>
      </c>
      <c r="E11" s="7" t="s">
        <v>10</v>
      </c>
      <c r="F11" s="7">
        <v>1.0</v>
      </c>
      <c r="G11" s="7">
        <v>1.60032687499915</v>
      </c>
    </row>
    <row r="12">
      <c r="A12" s="6" t="s">
        <v>33</v>
      </c>
      <c r="B12" s="7" t="s">
        <v>18</v>
      </c>
      <c r="C12" s="7" t="s">
        <v>9</v>
      </c>
      <c r="D12" s="7" t="s">
        <v>10</v>
      </c>
      <c r="E12" s="7" t="s">
        <v>10</v>
      </c>
      <c r="F12" s="7">
        <v>1.0</v>
      </c>
      <c r="G12" s="7">
        <v>1.19005195799764</v>
      </c>
    </row>
    <row r="13">
      <c r="A13" s="6" t="s">
        <v>23</v>
      </c>
      <c r="B13" s="7" t="s">
        <v>18</v>
      </c>
      <c r="C13" s="7" t="s">
        <v>9</v>
      </c>
      <c r="D13" s="7" t="s">
        <v>10</v>
      </c>
      <c r="E13" s="7" t="s">
        <v>10</v>
      </c>
      <c r="F13" s="7">
        <v>1.0</v>
      </c>
      <c r="G13" s="7">
        <v>1.12018429099771</v>
      </c>
    </row>
    <row r="14">
      <c r="A14" s="6" t="s">
        <v>20</v>
      </c>
      <c r="B14" s="7" t="s">
        <v>18</v>
      </c>
      <c r="C14" s="7" t="s">
        <v>13</v>
      </c>
      <c r="D14" s="7" t="s">
        <v>14</v>
      </c>
      <c r="E14" s="7" t="s">
        <v>14</v>
      </c>
      <c r="F14" s="7">
        <v>1.0</v>
      </c>
      <c r="G14" s="7">
        <v>0.929688373998943</v>
      </c>
    </row>
    <row r="16">
      <c r="F16" s="2" t="s">
        <v>25</v>
      </c>
      <c r="G16" s="3">
        <f>AVERAGE(G2:G7)</f>
        <v>0.8711835828</v>
      </c>
    </row>
    <row r="17">
      <c r="F17" s="2" t="s">
        <v>26</v>
      </c>
      <c r="G17" s="3">
        <f>AVERAGE(G9:G14)</f>
        <v>1.396095736</v>
      </c>
    </row>
    <row r="18">
      <c r="F18" s="4" t="s">
        <v>27</v>
      </c>
      <c r="G18" s="5">
        <f>AVERAGE(F2:F7)*100</f>
        <v>83.33333333</v>
      </c>
    </row>
    <row r="19">
      <c r="F19" s="4" t="s">
        <v>28</v>
      </c>
      <c r="G19" s="5">
        <f>AVERAGE(F9:F14)*100</f>
        <v>100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>
      <c r="A2" s="6" t="s">
        <v>16</v>
      </c>
      <c r="B2" s="7" t="s">
        <v>8</v>
      </c>
      <c r="C2" s="7" t="s">
        <v>9</v>
      </c>
      <c r="D2" s="7" t="s">
        <v>10</v>
      </c>
      <c r="E2" s="7" t="s">
        <v>10</v>
      </c>
      <c r="F2" s="7">
        <v>1.0</v>
      </c>
      <c r="G2" s="7">
        <v>5.25064429100166</v>
      </c>
    </row>
    <row r="3">
      <c r="A3" s="6" t="s">
        <v>30</v>
      </c>
      <c r="B3" s="7" t="s">
        <v>8</v>
      </c>
      <c r="C3" s="7" t="s">
        <v>13</v>
      </c>
      <c r="D3" s="7" t="s">
        <v>14</v>
      </c>
      <c r="E3" s="7" t="s">
        <v>14</v>
      </c>
      <c r="F3" s="7">
        <v>1.0</v>
      </c>
      <c r="G3" s="7">
        <v>0.803253542002494</v>
      </c>
    </row>
    <row r="4">
      <c r="A4" s="6" t="s">
        <v>7</v>
      </c>
      <c r="B4" s="7" t="s">
        <v>8</v>
      </c>
      <c r="C4" s="7" t="s">
        <v>9</v>
      </c>
      <c r="D4" s="7" t="s">
        <v>10</v>
      </c>
      <c r="E4" s="7" t="s">
        <v>10</v>
      </c>
      <c r="F4" s="7">
        <v>1.0</v>
      </c>
      <c r="G4" s="7">
        <v>1.11460679099764</v>
      </c>
    </row>
    <row r="5">
      <c r="A5" s="6" t="s">
        <v>15</v>
      </c>
      <c r="B5" s="7" t="s">
        <v>8</v>
      </c>
      <c r="C5" s="7" t="s">
        <v>9</v>
      </c>
      <c r="D5" s="7" t="s">
        <v>10</v>
      </c>
      <c r="E5" s="7" t="s">
        <v>10</v>
      </c>
      <c r="F5" s="7">
        <v>1.0</v>
      </c>
      <c r="G5" s="7">
        <v>2.67569045799974</v>
      </c>
    </row>
    <row r="6">
      <c r="A6" s="6" t="s">
        <v>31</v>
      </c>
      <c r="B6" s="7" t="s">
        <v>8</v>
      </c>
      <c r="C6" s="7" t="s">
        <v>13</v>
      </c>
      <c r="D6" s="7" t="s">
        <v>14</v>
      </c>
      <c r="E6" s="7" t="s">
        <v>14</v>
      </c>
      <c r="F6" s="7">
        <v>1.0</v>
      </c>
      <c r="G6" s="7">
        <v>0.875355207997927</v>
      </c>
    </row>
    <row r="7">
      <c r="A7" s="6" t="s">
        <v>29</v>
      </c>
      <c r="B7" s="7" t="s">
        <v>8</v>
      </c>
      <c r="C7" s="7" t="s">
        <v>13</v>
      </c>
      <c r="D7" s="7" t="s">
        <v>14</v>
      </c>
      <c r="E7" s="7" t="s">
        <v>14</v>
      </c>
      <c r="F7" s="7">
        <v>1.0</v>
      </c>
      <c r="G7" s="7">
        <v>0.739276625001367</v>
      </c>
    </row>
    <row r="8">
      <c r="A8" s="6"/>
      <c r="B8" s="7"/>
      <c r="C8" s="7"/>
      <c r="D8" s="7"/>
      <c r="E8" s="7"/>
      <c r="F8" s="7"/>
      <c r="G8" s="7"/>
    </row>
    <row r="9">
      <c r="A9" s="6" t="s">
        <v>34</v>
      </c>
      <c r="B9" s="7" t="s">
        <v>18</v>
      </c>
      <c r="C9" s="7" t="s">
        <v>13</v>
      </c>
      <c r="D9" s="7" t="s">
        <v>14</v>
      </c>
      <c r="E9" s="7" t="s">
        <v>14</v>
      </c>
      <c r="F9" s="7">
        <v>1.0</v>
      </c>
      <c r="G9" s="7">
        <v>1.63110649999726</v>
      </c>
    </row>
    <row r="10">
      <c r="A10" s="6" t="s">
        <v>39</v>
      </c>
      <c r="B10" s="7" t="s">
        <v>18</v>
      </c>
      <c r="C10" s="7" t="s">
        <v>9</v>
      </c>
      <c r="D10" s="7" t="s">
        <v>10</v>
      </c>
      <c r="E10" s="7" t="s">
        <v>14</v>
      </c>
      <c r="F10" s="7">
        <v>0.0</v>
      </c>
      <c r="G10" s="7"/>
    </row>
    <row r="11">
      <c r="A11" s="6" t="s">
        <v>23</v>
      </c>
      <c r="B11" s="7" t="s">
        <v>18</v>
      </c>
      <c r="C11" s="7" t="s">
        <v>9</v>
      </c>
      <c r="D11" s="7" t="s">
        <v>10</v>
      </c>
      <c r="E11" s="7" t="s">
        <v>10</v>
      </c>
      <c r="F11" s="7">
        <v>1.0</v>
      </c>
      <c r="G11" s="7">
        <v>0.936171916000603</v>
      </c>
    </row>
    <row r="12">
      <c r="A12" s="6" t="s">
        <v>33</v>
      </c>
      <c r="B12" s="7" t="s">
        <v>18</v>
      </c>
      <c r="C12" s="7" t="s">
        <v>9</v>
      </c>
      <c r="D12" s="7" t="s">
        <v>10</v>
      </c>
      <c r="E12" s="7" t="s">
        <v>10</v>
      </c>
      <c r="F12" s="7">
        <v>1.0</v>
      </c>
      <c r="G12" s="7">
        <v>0.900003957998706</v>
      </c>
    </row>
    <row r="13">
      <c r="A13" s="6" t="s">
        <v>17</v>
      </c>
      <c r="B13" s="7" t="s">
        <v>18</v>
      </c>
      <c r="C13" s="7" t="s">
        <v>13</v>
      </c>
      <c r="D13" s="7" t="s">
        <v>14</v>
      </c>
      <c r="E13" s="7" t="s">
        <v>14</v>
      </c>
      <c r="F13" s="7">
        <v>1.0</v>
      </c>
      <c r="G13" s="7">
        <v>0.788289332998829</v>
      </c>
    </row>
    <row r="14">
      <c r="A14" s="6" t="s">
        <v>24</v>
      </c>
      <c r="B14" s="7" t="s">
        <v>18</v>
      </c>
      <c r="C14" s="7" t="s">
        <v>9</v>
      </c>
      <c r="D14" s="7" t="s">
        <v>10</v>
      </c>
      <c r="E14" s="7" t="s">
        <v>10</v>
      </c>
      <c r="F14" s="7">
        <v>1.0</v>
      </c>
      <c r="G14" s="7">
        <v>2.04752625000037</v>
      </c>
    </row>
    <row r="17">
      <c r="F17" s="2" t="s">
        <v>25</v>
      </c>
      <c r="G17" s="3">
        <f>AVERAGE(G2:G7)</f>
        <v>1.909804486</v>
      </c>
    </row>
    <row r="18">
      <c r="F18" s="2" t="s">
        <v>26</v>
      </c>
      <c r="G18" s="3">
        <f>AVERAGE(G9:G14)</f>
        <v>1.260619591</v>
      </c>
    </row>
    <row r="19">
      <c r="F19" s="4" t="s">
        <v>27</v>
      </c>
      <c r="G19" s="5">
        <f>AVERAGE(F2:F7)*100</f>
        <v>100</v>
      </c>
    </row>
    <row r="20">
      <c r="F20" s="4" t="s">
        <v>28</v>
      </c>
      <c r="G20" s="3">
        <f>AVERAGE(F9:F14)*100</f>
        <v>83.33333333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>
      <c r="A2" s="6" t="s">
        <v>37</v>
      </c>
      <c r="B2" s="7" t="s">
        <v>8</v>
      </c>
      <c r="C2" s="7" t="s">
        <v>13</v>
      </c>
      <c r="D2" s="7" t="s">
        <v>14</v>
      </c>
      <c r="E2" s="7" t="s">
        <v>14</v>
      </c>
      <c r="F2" s="7">
        <v>1.0</v>
      </c>
      <c r="G2" s="7">
        <v>0.74144370799695</v>
      </c>
    </row>
    <row r="3">
      <c r="A3" s="6" t="s">
        <v>15</v>
      </c>
      <c r="B3" s="7" t="s">
        <v>8</v>
      </c>
      <c r="C3" s="7" t="s">
        <v>9</v>
      </c>
      <c r="D3" s="7" t="s">
        <v>10</v>
      </c>
      <c r="E3" s="7" t="s">
        <v>10</v>
      </c>
      <c r="F3" s="7">
        <v>1.0</v>
      </c>
      <c r="G3" s="7">
        <v>1.25338341599854</v>
      </c>
    </row>
    <row r="4">
      <c r="A4" s="6" t="s">
        <v>32</v>
      </c>
      <c r="B4" s="7" t="s">
        <v>8</v>
      </c>
      <c r="C4" s="7" t="s">
        <v>13</v>
      </c>
      <c r="D4" s="7" t="s">
        <v>14</v>
      </c>
      <c r="E4" s="7" t="s">
        <v>14</v>
      </c>
      <c r="F4" s="7">
        <v>1.0</v>
      </c>
      <c r="G4" s="7">
        <v>0.90188674899764</v>
      </c>
    </row>
    <row r="5">
      <c r="A5" s="6" t="s">
        <v>40</v>
      </c>
      <c r="B5" s="7" t="s">
        <v>8</v>
      </c>
      <c r="C5" s="7" t="s">
        <v>9</v>
      </c>
      <c r="D5" s="7" t="s">
        <v>10</v>
      </c>
      <c r="E5" s="7" t="s">
        <v>10</v>
      </c>
      <c r="F5" s="7">
        <v>1.0</v>
      </c>
      <c r="G5" s="7">
        <v>1.57681312400018</v>
      </c>
    </row>
    <row r="6">
      <c r="A6" s="6" t="s">
        <v>11</v>
      </c>
      <c r="B6" s="7" t="s">
        <v>8</v>
      </c>
      <c r="C6" s="7" t="s">
        <v>9</v>
      </c>
      <c r="D6" s="7" t="s">
        <v>10</v>
      </c>
      <c r="E6" s="7" t="s">
        <v>10</v>
      </c>
      <c r="F6" s="7">
        <v>1.0</v>
      </c>
      <c r="G6" s="7">
        <v>1.66232658300214</v>
      </c>
    </row>
    <row r="7">
      <c r="A7" s="6" t="s">
        <v>31</v>
      </c>
      <c r="B7" s="7" t="s">
        <v>8</v>
      </c>
      <c r="C7" s="7" t="s">
        <v>13</v>
      </c>
      <c r="D7" s="7" t="s">
        <v>14</v>
      </c>
      <c r="E7" s="7" t="s">
        <v>14</v>
      </c>
      <c r="F7" s="7">
        <v>1.0</v>
      </c>
      <c r="G7" s="7">
        <v>1.24634858300124</v>
      </c>
    </row>
    <row r="8">
      <c r="A8" s="6"/>
      <c r="B8" s="7"/>
      <c r="C8" s="7"/>
      <c r="D8" s="7"/>
      <c r="E8" s="7"/>
      <c r="F8" s="7"/>
      <c r="G8" s="7"/>
    </row>
    <row r="9">
      <c r="A9" s="6" t="s">
        <v>19</v>
      </c>
      <c r="B9" s="7" t="s">
        <v>18</v>
      </c>
      <c r="C9" s="7" t="s">
        <v>13</v>
      </c>
      <c r="D9" s="7" t="s">
        <v>14</v>
      </c>
      <c r="E9" s="7" t="s">
        <v>14</v>
      </c>
      <c r="F9" s="7">
        <v>1.0</v>
      </c>
      <c r="G9" s="7">
        <v>1.55338308299906</v>
      </c>
    </row>
    <row r="10">
      <c r="A10" s="6" t="s">
        <v>39</v>
      </c>
      <c r="B10" s="7" t="s">
        <v>18</v>
      </c>
      <c r="C10" s="7" t="s">
        <v>9</v>
      </c>
      <c r="D10" s="7" t="s">
        <v>10</v>
      </c>
      <c r="E10" s="7" t="s">
        <v>14</v>
      </c>
      <c r="F10" s="6">
        <v>0.0</v>
      </c>
      <c r="G10" s="7"/>
    </row>
    <row r="11">
      <c r="A11" s="6" t="s">
        <v>34</v>
      </c>
      <c r="B11" s="7" t="s">
        <v>18</v>
      </c>
      <c r="C11" s="7" t="s">
        <v>13</v>
      </c>
      <c r="D11" s="7" t="s">
        <v>14</v>
      </c>
      <c r="E11" s="7" t="s">
        <v>14</v>
      </c>
      <c r="F11" s="7">
        <v>1.0</v>
      </c>
      <c r="G11" s="7">
        <v>1.61148141599915</v>
      </c>
    </row>
    <row r="12">
      <c r="A12" s="6" t="s">
        <v>33</v>
      </c>
      <c r="B12" s="7" t="s">
        <v>18</v>
      </c>
      <c r="C12" s="7" t="s">
        <v>9</v>
      </c>
      <c r="D12" s="7" t="s">
        <v>10</v>
      </c>
      <c r="E12" s="7" t="s">
        <v>10</v>
      </c>
      <c r="F12" s="7">
        <v>1.0</v>
      </c>
      <c r="G12" s="7">
        <v>1.00448566600244</v>
      </c>
    </row>
    <row r="13">
      <c r="A13" s="6" t="s">
        <v>23</v>
      </c>
      <c r="B13" s="7" t="s">
        <v>18</v>
      </c>
      <c r="C13" s="7" t="s">
        <v>9</v>
      </c>
      <c r="D13" s="7" t="s">
        <v>10</v>
      </c>
      <c r="E13" s="7" t="s">
        <v>10</v>
      </c>
      <c r="F13" s="7">
        <v>1.0</v>
      </c>
      <c r="G13" s="7">
        <v>1.60911141700126</v>
      </c>
    </row>
    <row r="14">
      <c r="A14" s="6" t="s">
        <v>21</v>
      </c>
      <c r="B14" s="7" t="s">
        <v>18</v>
      </c>
      <c r="C14" s="7" t="s">
        <v>9</v>
      </c>
      <c r="D14" s="7" t="s">
        <v>10</v>
      </c>
      <c r="E14" s="7" t="s">
        <v>10</v>
      </c>
      <c r="F14" s="7">
        <v>1.0</v>
      </c>
      <c r="G14" s="7">
        <v>0.98454074899928</v>
      </c>
    </row>
    <row r="17">
      <c r="F17" s="2" t="s">
        <v>25</v>
      </c>
      <c r="G17" s="3">
        <f>AVERAGE(G2:G7)</f>
        <v>1.230367027</v>
      </c>
    </row>
    <row r="18">
      <c r="F18" s="2" t="s">
        <v>26</v>
      </c>
      <c r="G18" s="3">
        <f>AVERAGE(G9:G14)</f>
        <v>1.352600466</v>
      </c>
    </row>
    <row r="19">
      <c r="F19" s="4" t="s">
        <v>27</v>
      </c>
      <c r="G19" s="5">
        <f>AVERAGE(F2:F7)*100</f>
        <v>100</v>
      </c>
    </row>
    <row r="20">
      <c r="F20" s="4" t="s">
        <v>28</v>
      </c>
      <c r="G20" s="3">
        <f>AVERAGE(F9:F14)*100</f>
        <v>83.33333333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>
      <c r="A2" s="6" t="s">
        <v>36</v>
      </c>
      <c r="B2" s="7" t="s">
        <v>8</v>
      </c>
      <c r="C2" s="7" t="s">
        <v>9</v>
      </c>
      <c r="D2" s="7" t="s">
        <v>10</v>
      </c>
      <c r="E2" s="7" t="s">
        <v>10</v>
      </c>
      <c r="F2" s="7">
        <v>1.0</v>
      </c>
      <c r="G2" s="7">
        <v>3.71840225000051</v>
      </c>
    </row>
    <row r="3">
      <c r="A3" s="6" t="s">
        <v>12</v>
      </c>
      <c r="B3" s="7" t="s">
        <v>8</v>
      </c>
      <c r="C3" s="7" t="s">
        <v>13</v>
      </c>
      <c r="D3" s="7" t="s">
        <v>14</v>
      </c>
      <c r="E3" s="7" t="s">
        <v>14</v>
      </c>
      <c r="F3" s="7">
        <v>1.0</v>
      </c>
      <c r="G3" s="7">
        <v>0.561860249003075</v>
      </c>
    </row>
    <row r="4">
      <c r="A4" s="6" t="s">
        <v>15</v>
      </c>
      <c r="B4" s="7" t="s">
        <v>8</v>
      </c>
      <c r="C4" s="7" t="s">
        <v>9</v>
      </c>
      <c r="D4" s="7" t="s">
        <v>10</v>
      </c>
      <c r="E4" s="7" t="s">
        <v>10</v>
      </c>
      <c r="F4" s="7">
        <v>1.0</v>
      </c>
      <c r="G4" s="7">
        <v>0.972541667000769</v>
      </c>
    </row>
    <row r="5">
      <c r="A5" s="6" t="s">
        <v>32</v>
      </c>
      <c r="B5" s="7" t="s">
        <v>8</v>
      </c>
      <c r="C5" s="7" t="s">
        <v>13</v>
      </c>
      <c r="D5" s="7" t="s">
        <v>14</v>
      </c>
      <c r="E5" s="7" t="s">
        <v>14</v>
      </c>
      <c r="F5" s="7">
        <v>1.0</v>
      </c>
      <c r="G5" s="7">
        <v>0.756182832999912</v>
      </c>
    </row>
    <row r="6">
      <c r="A6" s="6" t="s">
        <v>37</v>
      </c>
      <c r="B6" s="7" t="s">
        <v>8</v>
      </c>
      <c r="C6" s="7" t="s">
        <v>13</v>
      </c>
      <c r="D6" s="7" t="s">
        <v>14</v>
      </c>
      <c r="E6" s="7" t="s">
        <v>14</v>
      </c>
      <c r="F6" s="7">
        <v>1.0</v>
      </c>
      <c r="G6" s="7">
        <v>0.71614241700081</v>
      </c>
    </row>
    <row r="7">
      <c r="A7" s="6"/>
      <c r="B7" s="7"/>
      <c r="C7" s="7"/>
      <c r="D7" s="7"/>
      <c r="E7" s="7"/>
      <c r="F7" s="7"/>
      <c r="G7" s="7"/>
    </row>
    <row r="8">
      <c r="A8" s="6" t="s">
        <v>24</v>
      </c>
      <c r="B8" s="7" t="s">
        <v>18</v>
      </c>
      <c r="C8" s="7" t="s">
        <v>9</v>
      </c>
      <c r="D8" s="7" t="s">
        <v>10</v>
      </c>
      <c r="E8" s="7" t="s">
        <v>10</v>
      </c>
      <c r="F8" s="7">
        <v>1.0</v>
      </c>
      <c r="G8" s="7">
        <v>0.943736165998416</v>
      </c>
    </row>
    <row r="9">
      <c r="A9" s="6" t="s">
        <v>22</v>
      </c>
      <c r="B9" s="7" t="s">
        <v>18</v>
      </c>
      <c r="C9" s="7" t="s">
        <v>9</v>
      </c>
      <c r="D9" s="7" t="s">
        <v>10</v>
      </c>
      <c r="E9" s="7" t="s">
        <v>10</v>
      </c>
      <c r="F9" s="7">
        <v>1.0</v>
      </c>
      <c r="G9" s="7">
        <v>0.767227042000741</v>
      </c>
    </row>
    <row r="10">
      <c r="A10" s="6" t="s">
        <v>33</v>
      </c>
      <c r="B10" s="7" t="s">
        <v>18</v>
      </c>
      <c r="C10" s="7" t="s">
        <v>9</v>
      </c>
      <c r="D10" s="7" t="s">
        <v>10</v>
      </c>
      <c r="E10" s="7" t="s">
        <v>10</v>
      </c>
      <c r="F10" s="7">
        <v>1.0</v>
      </c>
      <c r="G10" s="7">
        <v>0.903133457999502</v>
      </c>
    </row>
    <row r="11">
      <c r="A11" s="6" t="s">
        <v>23</v>
      </c>
      <c r="B11" s="7" t="s">
        <v>18</v>
      </c>
      <c r="C11" s="7" t="s">
        <v>9</v>
      </c>
      <c r="D11" s="7" t="s">
        <v>10</v>
      </c>
      <c r="E11" s="7" t="s">
        <v>10</v>
      </c>
      <c r="F11" s="7">
        <v>1.0</v>
      </c>
      <c r="G11" s="7">
        <v>0.710147207999398</v>
      </c>
    </row>
    <row r="12">
      <c r="A12" s="6" t="s">
        <v>19</v>
      </c>
      <c r="B12" s="7" t="s">
        <v>18</v>
      </c>
      <c r="C12" s="7" t="s">
        <v>13</v>
      </c>
      <c r="D12" s="7" t="s">
        <v>14</v>
      </c>
      <c r="E12" s="7" t="s">
        <v>14</v>
      </c>
      <c r="F12" s="7">
        <v>1.0</v>
      </c>
      <c r="G12" s="7">
        <v>0.572118041000067</v>
      </c>
    </row>
    <row r="13">
      <c r="A13" s="6" t="s">
        <v>17</v>
      </c>
      <c r="B13" s="7" t="s">
        <v>18</v>
      </c>
      <c r="C13" s="7" t="s">
        <v>13</v>
      </c>
      <c r="D13" s="7" t="s">
        <v>14</v>
      </c>
      <c r="E13" s="7" t="s">
        <v>14</v>
      </c>
      <c r="F13" s="7">
        <v>1.0</v>
      </c>
      <c r="G13" s="7">
        <v>0.570313874999556</v>
      </c>
    </row>
    <row r="14">
      <c r="A14" s="6" t="s">
        <v>20</v>
      </c>
      <c r="B14" s="7" t="s">
        <v>18</v>
      </c>
      <c r="C14" s="7" t="s">
        <v>13</v>
      </c>
      <c r="D14" s="7" t="s">
        <v>14</v>
      </c>
      <c r="E14" s="7" t="s">
        <v>14</v>
      </c>
      <c r="F14" s="7">
        <v>1.0</v>
      </c>
      <c r="G14" s="7">
        <v>0.565788166000857</v>
      </c>
    </row>
    <row r="16">
      <c r="F16" s="2" t="s">
        <v>25</v>
      </c>
      <c r="G16" s="3">
        <f>AVERAGE(G2:G6)</f>
        <v>1.345025883</v>
      </c>
    </row>
    <row r="17">
      <c r="F17" s="2" t="s">
        <v>26</v>
      </c>
      <c r="G17" s="3">
        <f>AVERAGE(G8:G14)</f>
        <v>0.7189234223</v>
      </c>
    </row>
    <row r="18">
      <c r="F18" s="4" t="s">
        <v>27</v>
      </c>
      <c r="G18" s="5">
        <f>5/5*100</f>
        <v>100</v>
      </c>
    </row>
    <row r="19">
      <c r="F19" s="4" t="s">
        <v>28</v>
      </c>
      <c r="G19" s="5">
        <f>7/7*100</f>
        <v>100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>
      <c r="A2" s="6" t="s">
        <v>36</v>
      </c>
      <c r="B2" s="7" t="s">
        <v>8</v>
      </c>
      <c r="C2" s="7" t="s">
        <v>9</v>
      </c>
      <c r="D2" s="7" t="s">
        <v>10</v>
      </c>
      <c r="E2" s="7" t="s">
        <v>10</v>
      </c>
      <c r="F2" s="7">
        <v>1.0</v>
      </c>
      <c r="G2" s="7">
        <v>0.989337582999724</v>
      </c>
    </row>
    <row r="3">
      <c r="A3" s="6" t="s">
        <v>32</v>
      </c>
      <c r="B3" s="7" t="s">
        <v>8</v>
      </c>
      <c r="C3" s="7" t="s">
        <v>13</v>
      </c>
      <c r="D3" s="7" t="s">
        <v>14</v>
      </c>
      <c r="E3" s="7" t="s">
        <v>10</v>
      </c>
      <c r="F3" s="6">
        <v>0.0</v>
      </c>
      <c r="G3" s="7"/>
    </row>
    <row r="4">
      <c r="A4" s="6" t="s">
        <v>29</v>
      </c>
      <c r="B4" s="7" t="s">
        <v>8</v>
      </c>
      <c r="C4" s="7" t="s">
        <v>13</v>
      </c>
      <c r="D4" s="7" t="s">
        <v>14</v>
      </c>
      <c r="E4" s="7" t="s">
        <v>10</v>
      </c>
      <c r="F4" s="6">
        <v>0.0</v>
      </c>
      <c r="G4" s="7"/>
    </row>
    <row r="5">
      <c r="A5" s="6" t="s">
        <v>40</v>
      </c>
      <c r="B5" s="7" t="s">
        <v>8</v>
      </c>
      <c r="C5" s="7" t="s">
        <v>9</v>
      </c>
      <c r="D5" s="7" t="s">
        <v>10</v>
      </c>
      <c r="E5" s="7" t="s">
        <v>10</v>
      </c>
      <c r="F5" s="7">
        <v>1.0</v>
      </c>
      <c r="G5" s="7">
        <v>2.10756445800143</v>
      </c>
    </row>
    <row r="6">
      <c r="A6" s="6" t="s">
        <v>15</v>
      </c>
      <c r="B6" s="7" t="s">
        <v>8</v>
      </c>
      <c r="C6" s="7" t="s">
        <v>9</v>
      </c>
      <c r="D6" s="7" t="s">
        <v>10</v>
      </c>
      <c r="E6" s="7" t="s">
        <v>10</v>
      </c>
      <c r="F6" s="7">
        <v>1.0</v>
      </c>
      <c r="G6" s="7">
        <v>1.77954258300088</v>
      </c>
    </row>
    <row r="7">
      <c r="A7" s="6" t="s">
        <v>31</v>
      </c>
      <c r="B7" s="7" t="s">
        <v>8</v>
      </c>
      <c r="C7" s="7" t="s">
        <v>13</v>
      </c>
      <c r="D7" s="7" t="s">
        <v>14</v>
      </c>
      <c r="E7" s="7" t="s">
        <v>14</v>
      </c>
      <c r="F7" s="7">
        <v>1.0</v>
      </c>
      <c r="G7" s="7">
        <v>2.9058049990017</v>
      </c>
    </row>
    <row r="8">
      <c r="A8" s="6" t="s">
        <v>16</v>
      </c>
      <c r="B8" s="7" t="s">
        <v>8</v>
      </c>
      <c r="C8" s="7" t="s">
        <v>9</v>
      </c>
      <c r="D8" s="7" t="s">
        <v>10</v>
      </c>
      <c r="E8" s="7" t="s">
        <v>10</v>
      </c>
      <c r="F8" s="7">
        <v>1.0</v>
      </c>
      <c r="G8" s="7">
        <v>2.77612408300047</v>
      </c>
    </row>
    <row r="9">
      <c r="A9" s="6"/>
      <c r="B9" s="7"/>
      <c r="C9" s="7"/>
      <c r="D9" s="7"/>
      <c r="E9" s="7"/>
      <c r="F9" s="7"/>
      <c r="G9" s="7"/>
    </row>
    <row r="10">
      <c r="A10" s="6" t="s">
        <v>21</v>
      </c>
      <c r="B10" s="7" t="s">
        <v>18</v>
      </c>
      <c r="C10" s="7" t="s">
        <v>9</v>
      </c>
      <c r="D10" s="7" t="s">
        <v>10</v>
      </c>
      <c r="E10" s="7" t="s">
        <v>10</v>
      </c>
      <c r="F10" s="7">
        <v>1.0</v>
      </c>
      <c r="G10" s="7">
        <v>1.54341820800255</v>
      </c>
    </row>
    <row r="11">
      <c r="A11" s="6" t="s">
        <v>34</v>
      </c>
      <c r="B11" s="7" t="s">
        <v>18</v>
      </c>
      <c r="C11" s="7" t="s">
        <v>13</v>
      </c>
      <c r="D11" s="7" t="s">
        <v>14</v>
      </c>
      <c r="E11" s="7" t="s">
        <v>14</v>
      </c>
      <c r="F11" s="7">
        <v>1.0</v>
      </c>
      <c r="G11" s="7">
        <v>1.01007141599985</v>
      </c>
    </row>
    <row r="12">
      <c r="A12" s="6" t="s">
        <v>38</v>
      </c>
      <c r="B12" s="7" t="s">
        <v>18</v>
      </c>
      <c r="C12" s="7" t="s">
        <v>13</v>
      </c>
      <c r="D12" s="7" t="s">
        <v>14</v>
      </c>
      <c r="E12" s="7" t="s">
        <v>10</v>
      </c>
      <c r="F12" s="6">
        <v>0.0</v>
      </c>
      <c r="G12" s="7"/>
    </row>
    <row r="13">
      <c r="A13" s="6" t="s">
        <v>22</v>
      </c>
      <c r="B13" s="7" t="s">
        <v>18</v>
      </c>
      <c r="C13" s="7" t="s">
        <v>9</v>
      </c>
      <c r="D13" s="7" t="s">
        <v>10</v>
      </c>
      <c r="E13" s="7" t="s">
        <v>10</v>
      </c>
      <c r="F13" s="7">
        <v>1.0</v>
      </c>
      <c r="G13" s="7">
        <v>1.65922520700042</v>
      </c>
    </row>
    <row r="14">
      <c r="A14" s="6" t="s">
        <v>24</v>
      </c>
      <c r="B14" s="7" t="s">
        <v>18</v>
      </c>
      <c r="C14" s="7" t="s">
        <v>9</v>
      </c>
      <c r="D14" s="7" t="s">
        <v>10</v>
      </c>
      <c r="E14" s="7" t="s">
        <v>10</v>
      </c>
      <c r="F14" s="7">
        <v>1.0</v>
      </c>
      <c r="G14" s="7">
        <v>2.58376604099976</v>
      </c>
    </row>
    <row r="17">
      <c r="F17" s="2" t="s">
        <v>25</v>
      </c>
      <c r="G17" s="3">
        <f>AVERAGE(G2:G8)</f>
        <v>2.111674741</v>
      </c>
    </row>
    <row r="18">
      <c r="F18" s="2" t="s">
        <v>26</v>
      </c>
      <c r="G18" s="3">
        <f>AVERAGE(G10:G14)</f>
        <v>1.699120218</v>
      </c>
    </row>
    <row r="19">
      <c r="F19" s="4" t="s">
        <v>27</v>
      </c>
      <c r="G19" s="5">
        <f>AVERAGE(F2:F8)*100</f>
        <v>71.42857143</v>
      </c>
    </row>
    <row r="20">
      <c r="F20" s="4" t="s">
        <v>28</v>
      </c>
      <c r="G20" s="5">
        <f>AVERAGE(F10:F14)*100</f>
        <v>80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>
      <c r="A2" s="6" t="s">
        <v>40</v>
      </c>
      <c r="B2" s="7" t="s">
        <v>8</v>
      </c>
      <c r="C2" s="7" t="s">
        <v>9</v>
      </c>
      <c r="D2" s="7" t="s">
        <v>10</v>
      </c>
      <c r="E2" s="7" t="s">
        <v>10</v>
      </c>
      <c r="F2" s="7">
        <v>1.0</v>
      </c>
      <c r="G2" s="7">
        <v>1.18561574900014</v>
      </c>
    </row>
    <row r="3">
      <c r="A3" s="6" t="s">
        <v>37</v>
      </c>
      <c r="B3" s="7" t="s">
        <v>8</v>
      </c>
      <c r="C3" s="7" t="s">
        <v>13</v>
      </c>
      <c r="D3" s="7" t="s">
        <v>14</v>
      </c>
      <c r="E3" s="7" t="s">
        <v>14</v>
      </c>
      <c r="F3" s="7">
        <v>1.0</v>
      </c>
      <c r="G3" s="7">
        <v>1.11566483200295</v>
      </c>
    </row>
    <row r="4">
      <c r="A4" s="6" t="s">
        <v>30</v>
      </c>
      <c r="B4" s="7" t="s">
        <v>8</v>
      </c>
      <c r="C4" s="7" t="s">
        <v>13</v>
      </c>
      <c r="D4" s="7" t="s">
        <v>14</v>
      </c>
      <c r="E4" s="7" t="s">
        <v>10</v>
      </c>
      <c r="F4" s="6">
        <v>0.0</v>
      </c>
      <c r="G4" s="7"/>
    </row>
    <row r="5">
      <c r="A5" s="6" t="s">
        <v>31</v>
      </c>
      <c r="B5" s="7" t="s">
        <v>8</v>
      </c>
      <c r="C5" s="7" t="s">
        <v>13</v>
      </c>
      <c r="D5" s="7" t="s">
        <v>14</v>
      </c>
      <c r="E5" s="7" t="s">
        <v>10</v>
      </c>
      <c r="F5" s="6">
        <v>0.0</v>
      </c>
      <c r="G5" s="7"/>
    </row>
    <row r="6">
      <c r="A6" s="6" t="s">
        <v>7</v>
      </c>
      <c r="B6" s="7" t="s">
        <v>8</v>
      </c>
      <c r="C6" s="7" t="s">
        <v>9</v>
      </c>
      <c r="D6" s="7" t="s">
        <v>10</v>
      </c>
      <c r="E6" s="7" t="s">
        <v>10</v>
      </c>
      <c r="F6" s="7">
        <v>1.0</v>
      </c>
      <c r="G6" s="7">
        <v>1.04615154099884</v>
      </c>
    </row>
    <row r="7">
      <c r="A7" s="6" t="s">
        <v>29</v>
      </c>
      <c r="B7" s="7" t="s">
        <v>8</v>
      </c>
      <c r="C7" s="7" t="s">
        <v>13</v>
      </c>
      <c r="D7" s="7" t="s">
        <v>14</v>
      </c>
      <c r="E7" s="7" t="s">
        <v>14</v>
      </c>
      <c r="F7" s="7">
        <v>1.0</v>
      </c>
      <c r="G7" s="7">
        <v>0.626297249000345</v>
      </c>
    </row>
    <row r="8">
      <c r="A8" s="6"/>
      <c r="B8" s="7"/>
      <c r="C8" s="7"/>
      <c r="D8" s="7"/>
      <c r="E8" s="7"/>
      <c r="F8" s="7"/>
      <c r="G8" s="7"/>
    </row>
    <row r="9">
      <c r="A9" s="6" t="s">
        <v>38</v>
      </c>
      <c r="B9" s="7" t="s">
        <v>18</v>
      </c>
      <c r="C9" s="7" t="s">
        <v>13</v>
      </c>
      <c r="D9" s="7" t="s">
        <v>14</v>
      </c>
      <c r="E9" s="7" t="s">
        <v>10</v>
      </c>
      <c r="F9" s="7">
        <v>0.0</v>
      </c>
      <c r="G9" s="7">
        <v>1.78398529100014</v>
      </c>
    </row>
    <row r="10">
      <c r="A10" s="6" t="s">
        <v>24</v>
      </c>
      <c r="B10" s="7" t="s">
        <v>18</v>
      </c>
      <c r="C10" s="7" t="s">
        <v>9</v>
      </c>
      <c r="D10" s="7" t="s">
        <v>10</v>
      </c>
      <c r="E10" s="7" t="s">
        <v>10</v>
      </c>
      <c r="F10" s="7">
        <v>1.0</v>
      </c>
      <c r="G10" s="7">
        <v>0.902929165997193</v>
      </c>
    </row>
    <row r="11">
      <c r="A11" s="6" t="s">
        <v>35</v>
      </c>
      <c r="B11" s="7" t="s">
        <v>18</v>
      </c>
      <c r="C11" s="7" t="s">
        <v>13</v>
      </c>
      <c r="D11" s="7" t="s">
        <v>14</v>
      </c>
      <c r="E11" s="7" t="s">
        <v>10</v>
      </c>
      <c r="F11" s="6">
        <v>0.0</v>
      </c>
      <c r="G11" s="7"/>
    </row>
    <row r="12">
      <c r="A12" s="6" t="s">
        <v>34</v>
      </c>
      <c r="B12" s="7" t="s">
        <v>18</v>
      </c>
      <c r="C12" s="7" t="s">
        <v>13</v>
      </c>
      <c r="D12" s="7" t="s">
        <v>14</v>
      </c>
      <c r="E12" s="7" t="s">
        <v>10</v>
      </c>
      <c r="F12" s="6">
        <v>0.0</v>
      </c>
      <c r="G12" s="7"/>
    </row>
    <row r="13">
      <c r="A13" s="6" t="s">
        <v>21</v>
      </c>
      <c r="B13" s="7" t="s">
        <v>18</v>
      </c>
      <c r="C13" s="7" t="s">
        <v>9</v>
      </c>
      <c r="D13" s="7" t="s">
        <v>10</v>
      </c>
      <c r="E13" s="7" t="s">
        <v>10</v>
      </c>
      <c r="F13" s="7">
        <v>1.0</v>
      </c>
      <c r="G13" s="7">
        <v>0.682501623999997</v>
      </c>
    </row>
    <row r="14">
      <c r="A14" s="6" t="s">
        <v>20</v>
      </c>
      <c r="B14" s="7" t="s">
        <v>18</v>
      </c>
      <c r="C14" s="7" t="s">
        <v>13</v>
      </c>
      <c r="D14" s="7" t="s">
        <v>14</v>
      </c>
      <c r="E14" s="7" t="s">
        <v>14</v>
      </c>
      <c r="F14" s="7">
        <v>1.0</v>
      </c>
      <c r="G14" s="7">
        <v>0.583953790999658</v>
      </c>
    </row>
    <row r="16">
      <c r="F16" s="2" t="s">
        <v>25</v>
      </c>
      <c r="G16" s="3">
        <f>AVERAGE(G2:G7)</f>
        <v>0.9934323428</v>
      </c>
    </row>
    <row r="17">
      <c r="F17" s="2" t="s">
        <v>26</v>
      </c>
      <c r="G17" s="3">
        <f>AVERAGE(G9:G14)</f>
        <v>0.988342468</v>
      </c>
    </row>
    <row r="18">
      <c r="F18" s="4" t="s">
        <v>27</v>
      </c>
      <c r="G18" s="5">
        <f>AVERAGE(F2:F7)*100</f>
        <v>66.66666667</v>
      </c>
    </row>
    <row r="19">
      <c r="F19" s="4" t="s">
        <v>28</v>
      </c>
      <c r="G19" s="5">
        <f>AVERAGE(F9:F14)*100</f>
        <v>50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41</v>
      </c>
      <c r="B1" s="8" t="s">
        <v>27</v>
      </c>
      <c r="C1" s="8" t="s">
        <v>28</v>
      </c>
      <c r="D1" s="9" t="s">
        <v>25</v>
      </c>
      <c r="E1" s="9" t="s">
        <v>26</v>
      </c>
    </row>
    <row r="2">
      <c r="A2" s="5">
        <v>1.0</v>
      </c>
      <c r="B2" s="5">
        <f>5/5*100</f>
        <v>100</v>
      </c>
      <c r="C2" s="5">
        <f>7/7*100</f>
        <v>100</v>
      </c>
      <c r="D2" s="3">
        <v>1.1248496831998611</v>
      </c>
      <c r="E2" s="3">
        <v>0.8545453868563128</v>
      </c>
    </row>
    <row r="3">
      <c r="A3" s="5">
        <v>2.0</v>
      </c>
      <c r="B3" s="5">
        <v>80.0</v>
      </c>
      <c r="C3" s="5">
        <v>100.0</v>
      </c>
      <c r="D3" s="3">
        <v>0.6124666559999243</v>
      </c>
      <c r="E3" s="3">
        <v>0.9290709580002713</v>
      </c>
    </row>
    <row r="4">
      <c r="A4" s="5">
        <v>3.0</v>
      </c>
      <c r="B4" s="5">
        <f>5/6*100</f>
        <v>83.33333333</v>
      </c>
      <c r="C4" s="5">
        <v>100.0</v>
      </c>
      <c r="D4" s="3">
        <v>0.871183582800586</v>
      </c>
      <c r="E4" s="3">
        <v>1.3960957356648571</v>
      </c>
    </row>
    <row r="5">
      <c r="A5" s="5">
        <v>4.0</v>
      </c>
      <c r="B5" s="5">
        <v>100.0</v>
      </c>
      <c r="C5" s="5">
        <f t="shared" ref="C5:C6" si="1">5/6*100</f>
        <v>83.33333333</v>
      </c>
      <c r="D5" s="3">
        <v>1.9098044858334713</v>
      </c>
      <c r="E5" s="3">
        <v>1.2606195913991536</v>
      </c>
    </row>
    <row r="6">
      <c r="A6" s="5">
        <v>5.0</v>
      </c>
      <c r="B6" s="5">
        <v>100.0</v>
      </c>
      <c r="C6" s="5">
        <f t="shared" si="1"/>
        <v>83.33333333</v>
      </c>
      <c r="D6" s="3">
        <v>1.230367027166115</v>
      </c>
      <c r="E6" s="3">
        <v>1.352600466200238</v>
      </c>
    </row>
    <row r="7">
      <c r="A7" s="5">
        <v>6.0</v>
      </c>
      <c r="B7" s="5">
        <v>100.0</v>
      </c>
      <c r="C7" s="5">
        <v>100.0</v>
      </c>
      <c r="D7" s="3">
        <v>1.3450258832010151</v>
      </c>
      <c r="E7" s="3">
        <v>0.7189234222855053</v>
      </c>
    </row>
    <row r="8">
      <c r="A8" s="5">
        <v>7.0</v>
      </c>
      <c r="B8" s="5">
        <f>5/7*100</f>
        <v>71.42857143</v>
      </c>
      <c r="C8" s="5">
        <f>4/5*100</f>
        <v>80</v>
      </c>
      <c r="D8" s="3">
        <v>2.111674741200841</v>
      </c>
      <c r="E8" s="3">
        <v>1.699120218000645</v>
      </c>
    </row>
    <row r="9">
      <c r="A9" s="5">
        <v>8.0</v>
      </c>
      <c r="B9" s="5">
        <f>2/6*100</f>
        <v>33.33333333</v>
      </c>
      <c r="C9" s="5">
        <f>3/6*100</f>
        <v>50</v>
      </c>
      <c r="D9" s="3">
        <v>0.9934323427505688</v>
      </c>
      <c r="E9" s="3">
        <v>0.988342467999247</v>
      </c>
    </row>
  </sheetData>
  <drawing r:id="rId1"/>
</worksheet>
</file>